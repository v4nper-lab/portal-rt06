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showInkAnnotation="0"/>
  <mc:AlternateContent xmlns:mc="http://schemas.openxmlformats.org/markup-compatibility/2006">
    <mc:Choice Requires="x15">
      <x15ac:absPath xmlns:x15ac="http://schemas.microsoft.com/office/spreadsheetml/2010/11/ac" url="C:\Users\M.FAHMI ILMAN N\Desktop\WebsitedataRT06\"/>
    </mc:Choice>
  </mc:AlternateContent>
  <xr:revisionPtr revIDLastSave="0" documentId="13_ncr:1_{D8FA035C-349D-4298-B369-C3386313060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DATA WARGA RT 06" sheetId="6" r:id="rId1"/>
    <sheet name="status" sheetId="2" state="hidden" r:id="rId2"/>
  </sheets>
  <externalReferences>
    <externalReference r:id="rId3"/>
  </externalReferences>
  <definedNames>
    <definedName name="_xlnm._FilterDatabase" localSheetId="0" hidden="1">'DATA WARGA RT 06'!$A$4:$P$240</definedName>
    <definedName name="_xlnm._FilterDatabase" localSheetId="1" hidden="1">status!$A$7:$T$240</definedName>
    <definedName name="_xlnm.Print_Area" localSheetId="0">'DATA WARGA RT 06'!$A$1:$P$253</definedName>
    <definedName name="_xlnm.Print_Titles" localSheetId="0">'DATA WARGA RT 06'!$4:$5</definedName>
  </definedNames>
  <calcPr calcId="191029"/>
</workbook>
</file>

<file path=xl/calcChain.xml><?xml version="1.0" encoding="utf-8"?>
<calcChain xmlns="http://schemas.openxmlformats.org/spreadsheetml/2006/main">
  <c r="H181" i="6" l="1"/>
  <c r="H180" i="6"/>
  <c r="H138" i="6"/>
  <c r="H141" i="6"/>
  <c r="H140" i="6"/>
  <c r="H139" i="6"/>
  <c r="H148" i="6" l="1"/>
  <c r="H147" i="6"/>
  <c r="H146" i="6"/>
  <c r="H145" i="6"/>
  <c r="H144" i="6"/>
  <c r="H143" i="6"/>
  <c r="H142" i="6"/>
  <c r="H19" i="6"/>
  <c r="H18" i="6"/>
  <c r="H136" i="6"/>
  <c r="H135" i="6"/>
  <c r="H202" i="6"/>
  <c r="H201" i="6"/>
  <c r="H200" i="6"/>
  <c r="H199" i="6"/>
  <c r="H230" i="6"/>
  <c r="H129" i="6"/>
  <c r="H128" i="6"/>
  <c r="H127" i="6"/>
  <c r="H26" i="6"/>
  <c r="H93" i="6"/>
  <c r="H223" i="6"/>
  <c r="H222" i="6"/>
  <c r="H160" i="6"/>
  <c r="H158" i="6"/>
  <c r="H157" i="6"/>
  <c r="H228" i="6"/>
  <c r="H177" i="6"/>
  <c r="H176" i="6"/>
  <c r="H175" i="6"/>
  <c r="H174" i="6"/>
  <c r="H90" i="6"/>
  <c r="H89" i="6"/>
  <c r="H88" i="6"/>
  <c r="H87" i="6"/>
  <c r="H86" i="6"/>
  <c r="H6" i="6" l="1"/>
  <c r="H7" i="6"/>
  <c r="H8" i="6"/>
  <c r="H9" i="6"/>
  <c r="H10" i="6"/>
  <c r="H11" i="6"/>
  <c r="H12" i="6"/>
  <c r="H13" i="6"/>
  <c r="H15" i="6"/>
  <c r="H16" i="6"/>
  <c r="H17" i="6"/>
  <c r="H20" i="6"/>
  <c r="H21" i="6"/>
  <c r="H22" i="6"/>
  <c r="H23" i="6"/>
  <c r="H24" i="6"/>
  <c r="H25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91" i="6"/>
  <c r="H92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31" i="6"/>
  <c r="H132" i="6"/>
  <c r="H133" i="6"/>
  <c r="H134" i="6"/>
  <c r="H137" i="6"/>
  <c r="H149" i="6"/>
  <c r="H150" i="6"/>
  <c r="H151" i="6"/>
  <c r="H153" i="6"/>
  <c r="H154" i="6"/>
  <c r="H155" i="6"/>
  <c r="H156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8" i="6"/>
  <c r="H179" i="6"/>
  <c r="H182" i="6"/>
  <c r="H183" i="6"/>
  <c r="H184" i="6"/>
  <c r="H185" i="6"/>
  <c r="H186" i="6"/>
  <c r="H187" i="6"/>
  <c r="H188" i="6"/>
  <c r="H189" i="6"/>
  <c r="H190" i="6"/>
  <c r="H193" i="6"/>
  <c r="H194" i="6"/>
  <c r="H195" i="6"/>
  <c r="H196" i="6"/>
  <c r="H197" i="6"/>
  <c r="H198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4" i="6"/>
  <c r="H226" i="6"/>
  <c r="H227" i="6"/>
  <c r="H229" i="6"/>
  <c r="H231" i="6"/>
  <c r="H232" i="6"/>
  <c r="H233" i="6"/>
  <c r="H234" i="6"/>
  <c r="H235" i="6"/>
  <c r="H236" i="6"/>
  <c r="H237" i="6"/>
  <c r="D238" i="6"/>
  <c r="F239" i="6"/>
  <c r="F240" i="6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100" i="2"/>
  <c r="K101" i="2"/>
  <c r="K102" i="2"/>
  <c r="K103" i="2"/>
  <c r="K104" i="2"/>
  <c r="K105" i="2"/>
  <c r="K106" i="2"/>
  <c r="K107" i="2"/>
  <c r="K108" i="2"/>
  <c r="K109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42" i="2"/>
  <c r="K143" i="2"/>
  <c r="K144" i="2"/>
  <c r="K145" i="2"/>
  <c r="K147" i="2"/>
  <c r="K148" i="2"/>
  <c r="K149" i="2"/>
  <c r="K150" i="2"/>
  <c r="K151" i="2"/>
  <c r="K152" i="2"/>
  <c r="K153" i="2"/>
  <c r="K154" i="2"/>
  <c r="K155" i="2"/>
  <c r="K156" i="2"/>
  <c r="K157" i="2"/>
  <c r="K159" i="2"/>
  <c r="K160" i="2"/>
  <c r="K161" i="2"/>
  <c r="K162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</calcChain>
</file>

<file path=xl/sharedStrings.xml><?xml version="1.0" encoding="utf-8"?>
<sst xmlns="http://schemas.openxmlformats.org/spreadsheetml/2006/main" count="5905" uniqueCount="765">
  <si>
    <t>DAFTAR PENDUDUK RT 06 - RW 14</t>
  </si>
  <si>
    <t>DESA NANJUNG MEKAR KECAMATAN RANCAEKEK KABUPATEN BANDUNG</t>
  </si>
  <si>
    <t>No.</t>
  </si>
  <si>
    <t>No.
Rumah</t>
  </si>
  <si>
    <t>Nama Kepala Keluarga</t>
  </si>
  <si>
    <t>Nama Anggota Keluarga</t>
  </si>
  <si>
    <t>JK</t>
  </si>
  <si>
    <t>Hubungan</t>
  </si>
  <si>
    <t>Tempat Lahir</t>
  </si>
  <si>
    <t>Tanggal Lahir</t>
  </si>
  <si>
    <t>Usia</t>
  </si>
  <si>
    <t>Status</t>
  </si>
  <si>
    <t>Agama</t>
  </si>
  <si>
    <t>Gol.
Darah</t>
  </si>
  <si>
    <t>Etnis / Suku</t>
  </si>
  <si>
    <t>Pendidikan</t>
  </si>
  <si>
    <t>Pekerjaan</t>
  </si>
  <si>
    <t>Stus Rumah</t>
  </si>
  <si>
    <t>Status Domisili</t>
  </si>
  <si>
    <t>B3-01</t>
  </si>
  <si>
    <t>DELI RISMANA</t>
  </si>
  <si>
    <t>L</t>
  </si>
  <si>
    <t>Kepala Keluarga</t>
  </si>
  <si>
    <t>BANDUNG</t>
  </si>
  <si>
    <t>Kawin</t>
  </si>
  <si>
    <t>Islam</t>
  </si>
  <si>
    <t>Tidak Tahu</t>
  </si>
  <si>
    <t>Sunda</t>
  </si>
  <si>
    <t>Tamat SLTP/sederajat</t>
  </si>
  <si>
    <t>Wiraswasta</t>
  </si>
  <si>
    <t>Sewa / Kontrak</t>
  </si>
  <si>
    <t>Luar NM</t>
  </si>
  <si>
    <t>B3-02</t>
  </si>
  <si>
    <t>TIA SETIAWAN</t>
  </si>
  <si>
    <t>Tamat SLTA/sederajat</t>
  </si>
  <si>
    <t>Karyawan Swasta</t>
  </si>
  <si>
    <t>Milik / Tetap</t>
  </si>
  <si>
    <t>Nanjung Mekar</t>
  </si>
  <si>
    <t>YANTI DWI ASIH</t>
  </si>
  <si>
    <t>P</t>
  </si>
  <si>
    <t>Istri</t>
  </si>
  <si>
    <t>BOGOR</t>
  </si>
  <si>
    <t>Mengurus Rumah Tangga</t>
  </si>
  <si>
    <t>NAUFAL MUHAMMAD YUSUF</t>
  </si>
  <si>
    <t>Anak Kandung</t>
  </si>
  <si>
    <t>Belum Kawin</t>
  </si>
  <si>
    <t>Belum Bekerja</t>
  </si>
  <si>
    <t>NAILA NUR HANIFAH</t>
  </si>
  <si>
    <t>SUMEDANG</t>
  </si>
  <si>
    <t>Sedang SLTP/Sederajat</t>
  </si>
  <si>
    <t>Pelajar</t>
  </si>
  <si>
    <t>ARSIH</t>
  </si>
  <si>
    <t>Mertua</t>
  </si>
  <si>
    <t>Janda/Duda</t>
  </si>
  <si>
    <t>B3-03</t>
  </si>
  <si>
    <t>DENDI MARTIAN TANDIANA</t>
  </si>
  <si>
    <t>LILIS SAHADAH</t>
  </si>
  <si>
    <t>B3-04</t>
  </si>
  <si>
    <t>KOSONG</t>
  </si>
  <si>
    <t>B3-05</t>
  </si>
  <si>
    <t>ANA GOPAR</t>
  </si>
  <si>
    <t>Sedang SD/sederajat</t>
  </si>
  <si>
    <t>Belum masuk TK/Kelompok Bermain</t>
  </si>
  <si>
    <t>Belum Sekolah</t>
  </si>
  <si>
    <t>B3-06</t>
  </si>
  <si>
    <t>ENANG RUKMANA</t>
  </si>
  <si>
    <t>SYARIFA SRI JAMILAH</t>
  </si>
  <si>
    <t>DIKA SURYA PERMANA</t>
  </si>
  <si>
    <t>Sedang S-1/sederajat</t>
  </si>
  <si>
    <t>SYAENA ANDIKA SUKMANA</t>
  </si>
  <si>
    <t>B3-07</t>
  </si>
  <si>
    <t>TEGUH CITRA REONALD MUTAQIEN</t>
  </si>
  <si>
    <t>NENENG NURNENGSIH</t>
  </si>
  <si>
    <t>MARISSA AZZAHRA MAULIDA</t>
  </si>
  <si>
    <t>B3-08</t>
  </si>
  <si>
    <t>MUHAMAD JAMIL SITEPU</t>
  </si>
  <si>
    <t>BINJAI</t>
  </si>
  <si>
    <t>Aceh</t>
  </si>
  <si>
    <t>SARI ROSITA</t>
  </si>
  <si>
    <t>CIMAHI</t>
  </si>
  <si>
    <t>ANI SAFIRA BORU SITEPU</t>
  </si>
  <si>
    <t>INDAH QAILANI BORU SITEPU</t>
  </si>
  <si>
    <t>JIHAN YARIQA SITEPU</t>
  </si>
  <si>
    <t>Sedang TK/Kelompok Bermain</t>
  </si>
  <si>
    <t>B3-09</t>
  </si>
  <si>
    <t>MULYADI</t>
  </si>
  <si>
    <t>NGULAK-MUBA</t>
  </si>
  <si>
    <t>Melayu</t>
  </si>
  <si>
    <t>HASMIWATI</t>
  </si>
  <si>
    <t>Batak</t>
  </si>
  <si>
    <t>NADEA DIWATI</t>
  </si>
  <si>
    <t>Sedang SLTA/sederajat</t>
  </si>
  <si>
    <t>PUTRI ANGGRAINI</t>
  </si>
  <si>
    <t>Anak Angkat</t>
  </si>
  <si>
    <t>FILYA ANDARI</t>
  </si>
  <si>
    <t>B3-10</t>
  </si>
  <si>
    <t>AJAT</t>
  </si>
  <si>
    <t>TASIKMALAYA</t>
  </si>
  <si>
    <t>Tamat SD/sederajat</t>
  </si>
  <si>
    <t>Buruh Harian Lepas</t>
  </si>
  <si>
    <t>SEPTI YULIANTI</t>
  </si>
  <si>
    <t>GARUT</t>
  </si>
  <si>
    <t>HASNA RAHMANIA PUTRI</t>
  </si>
  <si>
    <t>B3-11</t>
  </si>
  <si>
    <t>MUHAMAD SURYO</t>
  </si>
  <si>
    <t>Tamat S-1/sederajat</t>
  </si>
  <si>
    <t>AUDIO FIRMA DEWI LUBIS</t>
  </si>
  <si>
    <t>MUHAMAD BINTANG DHIAURAHMAN JABULANI</t>
  </si>
  <si>
    <t>IBRAHIM BUMI ELRAFIF</t>
  </si>
  <si>
    <t>B3-12</t>
  </si>
  <si>
    <t>AGUNG KURNIAWAN</t>
  </si>
  <si>
    <t>KEBUMEN</t>
  </si>
  <si>
    <t>Jawa</t>
  </si>
  <si>
    <t>IIS RISWANTI</t>
  </si>
  <si>
    <t>NICHOLAS SANDY KURNIAWAN</t>
  </si>
  <si>
    <t>NIKITA CINDY KURNIAWAN</t>
  </si>
  <si>
    <t>B3-12A</t>
  </si>
  <si>
    <t>MOCHAMAD FAJAR SIDIK</t>
  </si>
  <si>
    <t>DEVI YULI INDRIANI</t>
  </si>
  <si>
    <t>CIAMIS</t>
  </si>
  <si>
    <t>MUHAMMAD GHAZI ASH-SHIDDIQ</t>
  </si>
  <si>
    <t>FAKHITAHHUMAIRAH ASH SHIDIQ</t>
  </si>
  <si>
    <t>MUHAMMAD AIBARS ASH SHIDDIQ</t>
  </si>
  <si>
    <t>B3-14</t>
  </si>
  <si>
    <t>YOYON HERMAWAN</t>
  </si>
  <si>
    <t>SUKABUMI</t>
  </si>
  <si>
    <t>Tamat D-4/sederajat</t>
  </si>
  <si>
    <t>LILIS SETIAWATI</t>
  </si>
  <si>
    <t>SUBANG</t>
  </si>
  <si>
    <t>NABILA HESTIA PUTRI</t>
  </si>
  <si>
    <t>RENDRA DAFA ADIWITYA</t>
  </si>
  <si>
    <t>B3-15</t>
  </si>
  <si>
    <t>NANANG MASRURI</t>
  </si>
  <si>
    <t>BREBES</t>
  </si>
  <si>
    <t>ANI SETIOWATI</t>
  </si>
  <si>
    <t>NIZAR ISKANDARSYAH</t>
  </si>
  <si>
    <t>ABU AYUB AL ANSHARI</t>
  </si>
  <si>
    <t>SYAFIQ KHOERY NASYWAN</t>
  </si>
  <si>
    <t>B3-16</t>
  </si>
  <si>
    <t>DADAN HERMAWAN</t>
  </si>
  <si>
    <t>YANTI TRISNIAWATI</t>
  </si>
  <si>
    <t>ANGGI NUR HERMAWATI</t>
  </si>
  <si>
    <t>RAMDAN HERMAWAN</t>
  </si>
  <si>
    <t>RIZKY FATTURROCHMAN</t>
  </si>
  <si>
    <t>B3-17</t>
  </si>
  <si>
    <t>IRVAN PERMANA</t>
  </si>
  <si>
    <t>LILIK LESTARI</t>
  </si>
  <si>
    <t>KINETA PUTRI AURELIA</t>
  </si>
  <si>
    <t>MUHAMMAD FAHMI ILMAN NAFIAN</t>
  </si>
  <si>
    <t>B3-18</t>
  </si>
  <si>
    <t>ASEP YUDIANA</t>
  </si>
  <si>
    <t>ELIN YULIANTI</t>
  </si>
  <si>
    <t>TIFFANY EYLIAN MEILANY YUDHISTIRA</t>
  </si>
  <si>
    <t>MUAYYAD BILLAH RAMADHAN</t>
  </si>
  <si>
    <t>B3-19</t>
  </si>
  <si>
    <t>Diploma IV /Strata I</t>
  </si>
  <si>
    <t>B3-20</t>
  </si>
  <si>
    <t>SUGITO</t>
  </si>
  <si>
    <t>PURWOREJO</t>
  </si>
  <si>
    <t>WASINAH</t>
  </si>
  <si>
    <t>GUNUNGKIDUL</t>
  </si>
  <si>
    <t>YUNITA PUJI ASTUTIK</t>
  </si>
  <si>
    <t>Tamat D-2/sederajat</t>
  </si>
  <si>
    <t>SUCI RAHMAWATI</t>
  </si>
  <si>
    <t>B3-21</t>
  </si>
  <si>
    <t>YUSUP</t>
  </si>
  <si>
    <t>DAYUNI KOSIM</t>
  </si>
  <si>
    <t>INDRAMAYU</t>
  </si>
  <si>
    <t>NURI CAHYA HASTUTI</t>
  </si>
  <si>
    <t>SITI YUNINGSIH</t>
  </si>
  <si>
    <t>B3-22</t>
  </si>
  <si>
    <t>B3-23</t>
  </si>
  <si>
    <t>-</t>
  </si>
  <si>
    <t>BANYUMAS</t>
  </si>
  <si>
    <t>CIREBON</t>
  </si>
  <si>
    <t>BELIMBING</t>
  </si>
  <si>
    <t>B3-24</t>
  </si>
  <si>
    <t>HERMANTO</t>
  </si>
  <si>
    <t xml:space="preserve">AI IDA HOLIDAH	</t>
  </si>
  <si>
    <t>MOCHAMMAD ANDRI HIDAYATULLOH</t>
  </si>
  <si>
    <t>INTAN HARNINDA PUTRI</t>
  </si>
  <si>
    <t>B3-25</t>
  </si>
  <si>
    <t>ADE HERMAN</t>
  </si>
  <si>
    <t>TUTI SUSILAWATI</t>
  </si>
  <si>
    <t>AI WIDI RAHMAWATI</t>
  </si>
  <si>
    <t>B3-26</t>
  </si>
  <si>
    <t>DUDIN</t>
  </si>
  <si>
    <t>CIANJUR</t>
  </si>
  <si>
    <t>NANI ROHAENI</t>
  </si>
  <si>
    <t>DIploma I</t>
  </si>
  <si>
    <t>ACENG M YUSUF</t>
  </si>
  <si>
    <t>GALIH PURNAMA ADJIE</t>
  </si>
  <si>
    <t>IRFAN JULIANSYAH</t>
  </si>
  <si>
    <t>NADINE RAHMALIA PUTRI</t>
  </si>
  <si>
    <t>B3-27</t>
  </si>
  <si>
    <t>ASEP ABDURRAHMAN</t>
  </si>
  <si>
    <t>YANTI RIYANTI</t>
  </si>
  <si>
    <t>NAUFAL HILMI NURHAKIM</t>
  </si>
  <si>
    <t>HAURA ALFIAH</t>
  </si>
  <si>
    <t>NAHLA AULIA</t>
  </si>
  <si>
    <t>DHABITH AUFA</t>
  </si>
  <si>
    <t>B3-28</t>
  </si>
  <si>
    <t>AAN TONI FAUYI</t>
  </si>
  <si>
    <t>BANTUL</t>
  </si>
  <si>
    <t>Tamat D-3/sederajat</t>
  </si>
  <si>
    <t>NURINA PITASARI</t>
  </si>
  <si>
    <t>KHANZA RIFKY AL FAUZY</t>
  </si>
  <si>
    <t>DEVANKA ABIDZAR AL FAUZY</t>
  </si>
  <si>
    <t>B3-29</t>
  </si>
  <si>
    <t>ROIS ISKANDAR</t>
  </si>
  <si>
    <t>RISMAWATI</t>
  </si>
  <si>
    <t>RENDI MUSTOFA</t>
  </si>
  <si>
    <t>RAFARDHAN MUHAMMAD ATHALIA</t>
  </si>
  <si>
    <t>B3-30</t>
  </si>
  <si>
    <t>DEDE RACHMAT</t>
  </si>
  <si>
    <t>MAJALENGKA</t>
  </si>
  <si>
    <t>JUMILAH</t>
  </si>
  <si>
    <t>CILACAP</t>
  </si>
  <si>
    <t>ELSA NOVITA SARI</t>
  </si>
  <si>
    <t>B3-31</t>
  </si>
  <si>
    <t xml:space="preserve">PEPEN EFFENDI	</t>
  </si>
  <si>
    <t>PEPEN EFFENDI</t>
  </si>
  <si>
    <t>EVI PRIHATINI</t>
  </si>
  <si>
    <t>ANNISA APRILLA NURJANNAH</t>
  </si>
  <si>
    <t>B3-34</t>
  </si>
  <si>
    <t>HERMAN SUSANTO</t>
  </si>
  <si>
    <t>JAKARTA</t>
  </si>
  <si>
    <t>ROSMIATI SARI NENGSIH</t>
  </si>
  <si>
    <t>B3-35A</t>
  </si>
  <si>
    <t>DEDE ARI WIDHODHO</t>
  </si>
  <si>
    <t>PUTRI  NUR APRILYANI</t>
  </si>
  <si>
    <t>ATAYA PRANAYA PUTRI</t>
  </si>
  <si>
    <t>baru lahir</t>
  </si>
  <si>
    <t>B5-02</t>
  </si>
  <si>
    <t>DUDI WAHYUDI</t>
  </si>
  <si>
    <t>WAWAT SETIAWATI</t>
  </si>
  <si>
    <t>HABIB ZENAL MUTTAQIN</t>
  </si>
  <si>
    <t>MUHAMAD AL GHIFARI</t>
  </si>
  <si>
    <t>B5-03</t>
  </si>
  <si>
    <t>B5-04</t>
  </si>
  <si>
    <t>APANDI</t>
  </si>
  <si>
    <t>YUYUN YULIANI</t>
  </si>
  <si>
    <t>ARSYILA AZ-ZAHRA</t>
  </si>
  <si>
    <t>AZKAA ASYIFA FADILLAH</t>
  </si>
  <si>
    <t>B5-05</t>
  </si>
  <si>
    <t>AGUS HENDRA</t>
  </si>
  <si>
    <t>SANDRA NUR APRIYANI</t>
  </si>
  <si>
    <t>AFWAN MAULANA ALIE FATUROHIM</t>
  </si>
  <si>
    <t>SLTA/sederajat</t>
  </si>
  <si>
    <t>RAFARDHAN ATHALLA</t>
  </si>
  <si>
    <t>Tamat TPA/sederajat</t>
  </si>
  <si>
    <t>B5-06</t>
  </si>
  <si>
    <t>B5-07</t>
  </si>
  <si>
    <t>ODANG</t>
  </si>
  <si>
    <t>ITA KARSITA</t>
  </si>
  <si>
    <t>AHMAD SAEPULOH</t>
  </si>
  <si>
    <t>TEGAR ADIYA PUTRA</t>
  </si>
  <si>
    <t>B5-08</t>
  </si>
  <si>
    <t>DAVID WILLIAMS SIREGAR</t>
  </si>
  <si>
    <t>MEDAN</t>
  </si>
  <si>
    <t>Kristen</t>
  </si>
  <si>
    <t>ERNA SUMARNI</t>
  </si>
  <si>
    <t>AVIEL ELEAZAR WILLIAM SIREGAR</t>
  </si>
  <si>
    <t>EVAN KARL STEVEN WILLIAM SIREGAR</t>
  </si>
  <si>
    <t>B5-09</t>
  </si>
  <si>
    <t>B5-10</t>
  </si>
  <si>
    <t>B5-11</t>
  </si>
  <si>
    <t>PUNGKAS BROMOYO AJI</t>
  </si>
  <si>
    <t>PEKALONGAN</t>
  </si>
  <si>
    <t>RINA TRI RUSMANAWATI</t>
  </si>
  <si>
    <t>ANDROMEDA BRAMOYO</t>
  </si>
  <si>
    <t>A</t>
  </si>
  <si>
    <t>AGYA RIZKI MAHARANI</t>
  </si>
  <si>
    <t>B5-12</t>
  </si>
  <si>
    <t>ERUS RUSTANDI</t>
  </si>
  <si>
    <t>DEWI LAELANI</t>
  </si>
  <si>
    <t>FADILLAH ABDUL AZIS YANWAR</t>
  </si>
  <si>
    <t>MUHAMMAD RAIHAN HIBATULLOH</t>
  </si>
  <si>
    <t>HUMAIRA AZZAHRA NURAINI</t>
  </si>
  <si>
    <t>B5-12A</t>
  </si>
  <si>
    <t>MUHAMMAD SOLIHIN</t>
  </si>
  <si>
    <t>MEGAWATI</t>
  </si>
  <si>
    <t>KOTA BUMI</t>
  </si>
  <si>
    <t>MUHAMMAD AGUS KHAIRULLAH</t>
  </si>
  <si>
    <t>MUHAMMADZAZKY RAMADHAN</t>
  </si>
  <si>
    <t>ADZKRA KHAYRU ABHIRAAM</t>
  </si>
  <si>
    <t>belum masuk TK/Kelompok Bermain</t>
  </si>
  <si>
    <t>B5-14</t>
  </si>
  <si>
    <t>B6-01</t>
  </si>
  <si>
    <t>MUHAMMAD AMIN</t>
  </si>
  <si>
    <t>LABUAN RATU</t>
  </si>
  <si>
    <t>SULASTRI</t>
  </si>
  <si>
    <t>GROBOGAN</t>
  </si>
  <si>
    <t>LU'LU TRIAMINI</t>
  </si>
  <si>
    <t>AISYAH TRIAMINI</t>
  </si>
  <si>
    <t>B6-03</t>
  </si>
  <si>
    <t>YOGA ANDRIANA</t>
  </si>
  <si>
    <t>TNI</t>
  </si>
  <si>
    <t>NIA KURNIAWATI</t>
  </si>
  <si>
    <t>SHALSABILA FEBRIANI A PUTRI</t>
  </si>
  <si>
    <t>RIDAM SHABIA ANDRIANA PUTRA</t>
  </si>
  <si>
    <t>B6-04</t>
  </si>
  <si>
    <t>ANI SURYANI</t>
  </si>
  <si>
    <t>RONI ARIANUGRAHA</t>
  </si>
  <si>
    <t>SHEILA OCTAVIA</t>
  </si>
  <si>
    <t>NENENG SULASTRI</t>
  </si>
  <si>
    <t>B6-06</t>
  </si>
  <si>
    <t>AJAH HIDAYAT</t>
  </si>
  <si>
    <t>Freelance</t>
  </si>
  <si>
    <t>RINRIN KOMARIAH</t>
  </si>
  <si>
    <t>Guru</t>
  </si>
  <si>
    <t>ARSYLA  ROMEESA PUTRI HIDAYAT</t>
  </si>
  <si>
    <t>KANZIA AMBERLY ALFHATUNISA HIDAYAT</t>
  </si>
  <si>
    <t>B6-07</t>
  </si>
  <si>
    <t>DAUD</t>
  </si>
  <si>
    <t>DIDAH FARIDAH</t>
  </si>
  <si>
    <t>DONI SAPRUDIN</t>
  </si>
  <si>
    <t>SIFA APRILIANI</t>
  </si>
  <si>
    <t>FEBRIAN NUGRAHA</t>
  </si>
  <si>
    <t>B6-08</t>
  </si>
  <si>
    <t>SYAHRIL SIDIK, A.MD.FARM.</t>
  </si>
  <si>
    <t>O</t>
  </si>
  <si>
    <t>ARIN NURONIAH</t>
  </si>
  <si>
    <t>PNS</t>
  </si>
  <si>
    <t>NABILA PUTRI NURSIDDIQ</t>
  </si>
  <si>
    <t>INAR</t>
  </si>
  <si>
    <t>B6-09</t>
  </si>
  <si>
    <t>BUDI SANTOSO</t>
  </si>
  <si>
    <t>WIWIN ROSMIATI</t>
  </si>
  <si>
    <t>B6-10</t>
  </si>
  <si>
    <t>B6-11</t>
  </si>
  <si>
    <t>ENDANG SUPRIATNA</t>
  </si>
  <si>
    <t>DEWI KARTINI</t>
  </si>
  <si>
    <t>IKBAL RAMADHAN</t>
  </si>
  <si>
    <t>MUHAMAD IKHSAN NUR</t>
  </si>
  <si>
    <t>B6-12</t>
  </si>
  <si>
    <t>ERWIN HAERUDIN</t>
  </si>
  <si>
    <t>WENNY HERAWATI</t>
  </si>
  <si>
    <t>MUHAMMAD ZEMA ARSHAVIN</t>
  </si>
  <si>
    <t>ANINDIA ZILVANA PUTRI</t>
  </si>
  <si>
    <t>MUHAMMAD RAVIV ABIYYU</t>
  </si>
  <si>
    <t>LANIKA AISYAH PUTRI</t>
  </si>
  <si>
    <t>EUIS DJUBAEDAH</t>
  </si>
  <si>
    <t>PERIODE : JUNI TAHUN 2022</t>
  </si>
  <si>
    <t>No. KK</t>
  </si>
  <si>
    <t>NIK</t>
  </si>
  <si>
    <t>Keterangan</t>
  </si>
  <si>
    <t>Status Rumah</t>
  </si>
  <si>
    <t>3204280312190010</t>
  </si>
  <si>
    <t>3204280802910001</t>
  </si>
  <si>
    <t>musiman</t>
  </si>
  <si>
    <t>3204282306120051</t>
  </si>
  <si>
    <t>3204282404740005</t>
  </si>
  <si>
    <t>nanjung mekar</t>
  </si>
  <si>
    <t>3204285503740004</t>
  </si>
  <si>
    <t>3204282401020005</t>
  </si>
  <si>
    <t>3204284602090004</t>
  </si>
  <si>
    <t>3204284204540001</t>
  </si>
  <si>
    <t>3273301410103868</t>
  </si>
  <si>
    <t>3273302907730003</t>
  </si>
  <si>
    <t>3273305902790001</t>
  </si>
  <si>
    <t>3204282204130003</t>
  </si>
  <si>
    <t>3204352805800001</t>
  </si>
  <si>
    <t>YUDI SOPIAN</t>
  </si>
  <si>
    <t>3204111707190019</t>
  </si>
  <si>
    <t>1206022807840002</t>
  </si>
  <si>
    <t>RISTON SINUHAJI</t>
  </si>
  <si>
    <t>BERASTAGI</t>
  </si>
  <si>
    <t>3273174708830003</t>
  </si>
  <si>
    <t>RINA SEMBIRING</t>
  </si>
  <si>
    <t>1206020803060003</t>
  </si>
  <si>
    <t>ERFANDY SYAHPUTRA SINUHAJI</t>
  </si>
  <si>
    <t>3204282812150010</t>
  </si>
  <si>
    <t>3273182805730003</t>
  </si>
  <si>
    <t>3273184309760002</t>
  </si>
  <si>
    <t>3273180406000004</t>
  </si>
  <si>
    <t>3273180411080002</t>
  </si>
  <si>
    <t>3204280709120060</t>
  </si>
  <si>
    <t>3204281708880002</t>
  </si>
  <si>
    <t>3204285406890001</t>
  </si>
  <si>
    <t>3204284402130002</t>
  </si>
  <si>
    <t>3204283005110082</t>
  </si>
  <si>
    <t>3204281906750001</t>
  </si>
  <si>
    <t>3204287107780001</t>
  </si>
  <si>
    <t>3204286406070006</t>
  </si>
  <si>
    <t>3204285710100007</t>
  </si>
  <si>
    <t>3204285808140005</t>
  </si>
  <si>
    <t>3204282811060059</t>
  </si>
  <si>
    <t>3204282503750014</t>
  </si>
  <si>
    <t>3204285404800018</t>
  </si>
  <si>
    <t>3204286903030004</t>
  </si>
  <si>
    <t>3204284908090003</t>
  </si>
  <si>
    <t>3204285711170007</t>
  </si>
  <si>
    <t>3278050505120005</t>
  </si>
  <si>
    <t>3278050108880013</t>
  </si>
  <si>
    <t>3278055512860004</t>
  </si>
  <si>
    <t>3278052812120002</t>
  </si>
  <si>
    <t>RAFA PUTRA SHIDDIQ</t>
  </si>
  <si>
    <t>3278054301210001</t>
  </si>
  <si>
    <t>HUSNA RAHMANIA PUTRI</t>
  </si>
  <si>
    <t>3204282705110233</t>
  </si>
  <si>
    <t>3204281103830018</t>
  </si>
  <si>
    <t>3204285801800011</t>
  </si>
  <si>
    <t>3204282007100005</t>
  </si>
  <si>
    <t>3204280907150001</t>
  </si>
  <si>
    <t>3204282306120034</t>
  </si>
  <si>
    <t>3204280905810001</t>
  </si>
  <si>
    <t>3204284305820004</t>
  </si>
  <si>
    <t>3204280707050001</t>
  </si>
  <si>
    <t>3204282709100002</t>
  </si>
  <si>
    <t>3204281409170019</t>
  </si>
  <si>
    <t>3204280210930005</t>
  </si>
  <si>
    <t>3210044807940041</t>
  </si>
  <si>
    <t>3204282105180005</t>
  </si>
  <si>
    <t>3204282105190005</t>
  </si>
  <si>
    <t>3204282409120074</t>
  </si>
  <si>
    <t>3204281807720002</t>
  </si>
  <si>
    <t>3204286606830001</t>
  </si>
  <si>
    <t>3204286108040002</t>
  </si>
  <si>
    <t>3204280305110003</t>
  </si>
  <si>
    <t>3204282306120052</t>
  </si>
  <si>
    <t>3204280504730004</t>
  </si>
  <si>
    <t>3204286606780001</t>
  </si>
  <si>
    <t>3204280412040005</t>
  </si>
  <si>
    <t>3204281311080005</t>
  </si>
  <si>
    <t>3204280110140004</t>
  </si>
  <si>
    <t>3204083105050572</t>
  </si>
  <si>
    <t>3204082204810002</t>
  </si>
  <si>
    <t>3204086804790003</t>
  </si>
  <si>
    <t>3204086507030001</t>
  </si>
  <si>
    <t>3204080109080002</t>
  </si>
  <si>
    <t>3204083005160001</t>
  </si>
  <si>
    <t>3204283005110104</t>
  </si>
  <si>
    <t>3204281207780023</t>
  </si>
  <si>
    <t>3204286611780007</t>
  </si>
  <si>
    <t>3204285607040005</t>
  </si>
  <si>
    <t>3204282604120001</t>
  </si>
  <si>
    <t>3204282510160005</t>
  </si>
  <si>
    <t>3205102907780001</t>
  </si>
  <si>
    <t>3205106002820001</t>
  </si>
  <si>
    <t>3205105105050001</t>
  </si>
  <si>
    <t>3205102108010005</t>
  </si>
  <si>
    <t>3204282206120028</t>
  </si>
  <si>
    <t>3204281407590002</t>
  </si>
  <si>
    <t>3204286104670004</t>
  </si>
  <si>
    <t>3204285606920003</t>
  </si>
  <si>
    <t>3204284901970004</t>
  </si>
  <si>
    <t>3204280206050993</t>
  </si>
  <si>
    <t>3204283003750001</t>
  </si>
  <si>
    <t>3204286507810007</t>
  </si>
  <si>
    <t>3204285809030001</t>
  </si>
  <si>
    <t>3204284701120007</t>
  </si>
  <si>
    <t>3302072307650001</t>
  </si>
  <si>
    <t>SOLICH</t>
  </si>
  <si>
    <t>3209070503970005</t>
  </si>
  <si>
    <t>RION DIPUTRA</t>
  </si>
  <si>
    <t>1402081810010001</t>
  </si>
  <si>
    <t>RIO WIDODO</t>
  </si>
  <si>
    <t>3204280102210007</t>
  </si>
  <si>
    <t>3204282810960004</t>
  </si>
  <si>
    <t>FAESHAL SAHLI</t>
  </si>
  <si>
    <t>3204344112980005</t>
  </si>
  <si>
    <t>LIRA ALIFAH BILQIS</t>
  </si>
  <si>
    <t>3204280511210003</t>
  </si>
  <si>
    <t>FATHIAN MUHAMMAD RASYID</t>
  </si>
  <si>
    <t>3204283005110095</t>
  </si>
  <si>
    <t>3204280204750023</t>
  </si>
  <si>
    <t>3204287008790008</t>
  </si>
  <si>
    <t>3204280505020009</t>
  </si>
  <si>
    <t>3204286412100004</t>
  </si>
  <si>
    <t>3204280808120015</t>
  </si>
  <si>
    <t>3204280908630005</t>
  </si>
  <si>
    <t>3204284101740013</t>
  </si>
  <si>
    <t>3204285108990004</t>
  </si>
  <si>
    <t>3204283005110092</t>
  </si>
  <si>
    <t>3204282809760013</t>
  </si>
  <si>
    <t>3204286805770004</t>
  </si>
  <si>
    <t>3204283011020012</t>
  </si>
  <si>
    <t>3204285801070002</t>
  </si>
  <si>
    <t>3204286107110001</t>
  </si>
  <si>
    <t>3204282003140006</t>
  </si>
  <si>
    <t>3204282206120032</t>
  </si>
  <si>
    <t>3204280409860001</t>
  </si>
  <si>
    <t>3204285108850002</t>
  </si>
  <si>
    <t>3204282603120002</t>
  </si>
  <si>
    <t>3204281308160002</t>
  </si>
  <si>
    <t>3204282306120038</t>
  </si>
  <si>
    <t>3204281509660001</t>
  </si>
  <si>
    <t>3204285005760005</t>
  </si>
  <si>
    <t>3204284111030002</t>
  </si>
  <si>
    <t>3204282306120048</t>
  </si>
  <si>
    <t>3204282811720004</t>
  </si>
  <si>
    <t>3204286012750001</t>
  </si>
  <si>
    <t>3204282408980002</t>
  </si>
  <si>
    <t>ECKY NUGRAHA</t>
  </si>
  <si>
    <t>3204285404100005</t>
  </si>
  <si>
    <t>B3-32</t>
  </si>
  <si>
    <t>3329103012140016</t>
  </si>
  <si>
    <t>3329100401890008</t>
  </si>
  <si>
    <t>SOKHIBI</t>
  </si>
  <si>
    <t>3329104108910002</t>
  </si>
  <si>
    <t>KHUMAYAH</t>
  </si>
  <si>
    <t>3329106712140001</t>
  </si>
  <si>
    <t>SITI ANIZAH NUR FATIYA</t>
  </si>
  <si>
    <t>B3-33</t>
  </si>
  <si>
    <t>3213170805980003</t>
  </si>
  <si>
    <t>DEDE YUSUP</t>
  </si>
  <si>
    <t>3205222002990002</t>
  </si>
  <si>
    <t>FAHMI IRFAN HIDAYAT</t>
  </si>
  <si>
    <t>3214090208880001</t>
  </si>
  <si>
    <t>ANWAR SUHENDI</t>
  </si>
  <si>
    <t>PURWAKARTA</t>
  </si>
  <si>
    <t>3213170401030007</t>
  </si>
  <si>
    <t>LUCKY AMALUDIN</t>
  </si>
  <si>
    <t>3204283012210003</t>
  </si>
  <si>
    <t>3273220701950001</t>
  </si>
  <si>
    <t>3273285504000002</t>
  </si>
  <si>
    <t>3204285909200003</t>
  </si>
  <si>
    <t>B3-35B</t>
  </si>
  <si>
    <t>3204280512180001</t>
  </si>
  <si>
    <t>3204280710940003</t>
  </si>
  <si>
    <t>HENDRIANTO</t>
  </si>
  <si>
    <t>3205284503930002</t>
  </si>
  <si>
    <t>RISKA ASMILA</t>
  </si>
  <si>
    <t>3205280406140002</t>
  </si>
  <si>
    <t>GIO RUWAKH PRATAMA MUSTAKIM</t>
  </si>
  <si>
    <t>3204285712180006</t>
  </si>
  <si>
    <t>GIA PUTRI ASMILA</t>
  </si>
  <si>
    <t>B3-35C</t>
  </si>
  <si>
    <t>3207333108210002</t>
  </si>
  <si>
    <t>3207362711930001</t>
  </si>
  <si>
    <t>AGIS SUPRIATNA</t>
  </si>
  <si>
    <t>3273154805980003</t>
  </si>
  <si>
    <t>ASTRID MAYTANNY</t>
  </si>
  <si>
    <t>3207335612130001</t>
  </si>
  <si>
    <t>AJEUNG</t>
  </si>
  <si>
    <t>3207332112170002</t>
  </si>
  <si>
    <t>ADAM DINATA</t>
  </si>
  <si>
    <t>3207336303200002</t>
  </si>
  <si>
    <t>ALMAHERA SITI NUR CAHAYA</t>
  </si>
  <si>
    <t>B5-01</t>
  </si>
  <si>
    <t>3204280302200011</t>
  </si>
  <si>
    <t>3204285602670006</t>
  </si>
  <si>
    <t>R LINDA MANDALIA</t>
  </si>
  <si>
    <t>RENDRA R</t>
  </si>
  <si>
    <t>Suami</t>
  </si>
  <si>
    <t>ADIT</t>
  </si>
  <si>
    <t>YENI</t>
  </si>
  <si>
    <t>3204282306120040</t>
  </si>
  <si>
    <t>3204282002740001</t>
  </si>
  <si>
    <t>3204285710750001</t>
  </si>
  <si>
    <t>3204281802990002</t>
  </si>
  <si>
    <t>3204280804040001</t>
  </si>
  <si>
    <t>3204280301190020</t>
  </si>
  <si>
    <t>3273280204750002</t>
  </si>
  <si>
    <t>3273286211770003</t>
  </si>
  <si>
    <t>3273286211040001</t>
  </si>
  <si>
    <t>3273284612070001</t>
  </si>
  <si>
    <t>3204282411140019</t>
  </si>
  <si>
    <t>3211141108790015</t>
  </si>
  <si>
    <t>3211145704840007</t>
  </si>
  <si>
    <t>3211142012010012</t>
  </si>
  <si>
    <t>3204282902160002</t>
  </si>
  <si>
    <t>3211141911150009</t>
  </si>
  <si>
    <t>3211142306930003</t>
  </si>
  <si>
    <t>MUHAMAD SYAHRIR PRATAMA</t>
  </si>
  <si>
    <t>3204065404920003</t>
  </si>
  <si>
    <t>EVA SULASTRI</t>
  </si>
  <si>
    <t>3211142002170001</t>
  </si>
  <si>
    <t>RAYYAN ARSENIO SYAQIF</t>
  </si>
  <si>
    <t>3204282306120046</t>
  </si>
  <si>
    <t>3204280212770001</t>
  </si>
  <si>
    <t>3204284111810002</t>
  </si>
  <si>
    <t>3204281104080001</t>
  </si>
  <si>
    <t>3204281803130007</t>
  </si>
  <si>
    <t>3204283005110102</t>
  </si>
  <si>
    <t>3204282311790020</t>
  </si>
  <si>
    <t>3204284907800016</t>
  </si>
  <si>
    <t>3204280301060011</t>
  </si>
  <si>
    <t>3204285509130002</t>
  </si>
  <si>
    <t>3204282306120050</t>
  </si>
  <si>
    <t>3204280602740003</t>
  </si>
  <si>
    <t>3204285502770001</t>
  </si>
  <si>
    <t>3204280201020001</t>
  </si>
  <si>
    <t>3204282612060006</t>
  </si>
  <si>
    <t>3204285209120002</t>
  </si>
  <si>
    <t>3277012203080014</t>
  </si>
  <si>
    <t>3277012703790030</t>
  </si>
  <si>
    <t>3277014208820022</t>
  </si>
  <si>
    <t>3277012009080008</t>
  </si>
  <si>
    <t>3277010507150006</t>
  </si>
  <si>
    <t>3277011405190006</t>
  </si>
  <si>
    <t>3211141803065944</t>
  </si>
  <si>
    <t>3211142404750001</t>
  </si>
  <si>
    <t>AJANG SOPIAN</t>
  </si>
  <si>
    <t>3211146810810003</t>
  </si>
  <si>
    <t>RAHMAWATI</t>
  </si>
  <si>
    <t>3211141607010005</t>
  </si>
  <si>
    <t>DIKA SOPIAN NASTURI</t>
  </si>
  <si>
    <t>3211142708050003</t>
  </si>
  <si>
    <t>WILDAN YUDISTIAN</t>
  </si>
  <si>
    <t>3211141606120001</t>
  </si>
  <si>
    <t>MAHES NUGRAHA</t>
  </si>
  <si>
    <t>3211144305200002</t>
  </si>
  <si>
    <t>KARINA MEISA RAMDANI</t>
  </si>
  <si>
    <t>B5-15</t>
  </si>
  <si>
    <t>WAWAN AZAKIR</t>
  </si>
  <si>
    <t>OOM HOMISAH</t>
  </si>
  <si>
    <t>Cianjur</t>
  </si>
  <si>
    <t>FIRMAN. FA</t>
  </si>
  <si>
    <t>Ciamis</t>
  </si>
  <si>
    <t>ZIDDAN. FA</t>
  </si>
  <si>
    <t>Bandung</t>
  </si>
  <si>
    <t>SILSILA. F</t>
  </si>
  <si>
    <t>FATHUR. R</t>
  </si>
  <si>
    <t>SYIFA. NA</t>
  </si>
  <si>
    <t>ALIFA. N</t>
  </si>
  <si>
    <t>ALIFA. T.A</t>
  </si>
  <si>
    <t>Sumedang</t>
  </si>
  <si>
    <t>3204281108060018</t>
  </si>
  <si>
    <t>3204280708690004</t>
  </si>
  <si>
    <t>3204287004730009</t>
  </si>
  <si>
    <t>3204286710990007</t>
  </si>
  <si>
    <t>3204286007060002</t>
  </si>
  <si>
    <t>B6-02</t>
  </si>
  <si>
    <t>3204051612170009</t>
  </si>
  <si>
    <t>3204060103440001</t>
  </si>
  <si>
    <t>JONI PINONTOAN</t>
  </si>
  <si>
    <t>MANADO</t>
  </si>
  <si>
    <t>Pensiunan</t>
  </si>
  <si>
    <t>3204064508650001</t>
  </si>
  <si>
    <t>EDAH JUBAEDAH</t>
  </si>
  <si>
    <t>3204061109080001</t>
  </si>
  <si>
    <t>MEKI</t>
  </si>
  <si>
    <t>3204040203820007</t>
  </si>
  <si>
    <t>IWAN SETIAWAN</t>
  </si>
  <si>
    <t>3204066001830001</t>
  </si>
  <si>
    <t>TATI MULYATI</t>
  </si>
  <si>
    <t>3204064509030002</t>
  </si>
  <si>
    <t>PONIRAH</t>
  </si>
  <si>
    <t>3211141508160007</t>
  </si>
  <si>
    <t>3211142005850009</t>
  </si>
  <si>
    <t>3204286802860002</t>
  </si>
  <si>
    <t>3211145102030011</t>
  </si>
  <si>
    <t>3211140202170002</t>
  </si>
  <si>
    <t>3204280512140002</t>
  </si>
  <si>
    <t>3204286605620005</t>
  </si>
  <si>
    <t>3204281108970006</t>
  </si>
  <si>
    <t>3204284810010009</t>
  </si>
  <si>
    <t>B6-05</t>
  </si>
  <si>
    <t>3273301410108051</t>
  </si>
  <si>
    <t>3273301807550001</t>
  </si>
  <si>
    <t>ELAN SUHERLAN</t>
  </si>
  <si>
    <t>3273304206580001</t>
  </si>
  <si>
    <t>3204282503059305</t>
  </si>
  <si>
    <t>3204281007740003</t>
  </si>
  <si>
    <t>3204285310740003</t>
  </si>
  <si>
    <t>3204281507950001</t>
  </si>
  <si>
    <t>3204284204030006</t>
  </si>
  <si>
    <t>3204282302120009</t>
  </si>
  <si>
    <t>3204281701200016</t>
  </si>
  <si>
    <t>3207071502950001</t>
  </si>
  <si>
    <t>3204284307940001</t>
  </si>
  <si>
    <t>3204285809200003</t>
  </si>
  <si>
    <t>3204281303120040</t>
  </si>
  <si>
    <t>3204285805670002</t>
  </si>
  <si>
    <t>3273161309100331</t>
  </si>
  <si>
    <t>3273161704750002</t>
  </si>
  <si>
    <t>3273164703780002</t>
  </si>
  <si>
    <t>3273167108030003</t>
  </si>
  <si>
    <t>ADINDA ROSPITA WATI PUTRI U</t>
  </si>
  <si>
    <t>3204282310150002</t>
  </si>
  <si>
    <t>3204281510970009</t>
  </si>
  <si>
    <t>MUHAMAD ALI MUKTI</t>
  </si>
  <si>
    <t>3204144311960001</t>
  </si>
  <si>
    <t>NOVI CITRA DEWI</t>
  </si>
  <si>
    <t>3204286601160004</t>
  </si>
  <si>
    <t>AULIA NURALIDA</t>
  </si>
  <si>
    <t>3204281812210002</t>
  </si>
  <si>
    <t>MUHAMMADDAVID NUR RIZKY</t>
  </si>
  <si>
    <t>3277010311060729</t>
  </si>
  <si>
    <t>3277010604650016</t>
  </si>
  <si>
    <t>3277016006680016</t>
  </si>
  <si>
    <t>3277012402980001</t>
  </si>
  <si>
    <t>3277011807050002</t>
  </si>
  <si>
    <t>3273140409103682</t>
  </si>
  <si>
    <t>3273141801840004</t>
  </si>
  <si>
    <t>3273146501850001</t>
  </si>
  <si>
    <t>3273142401100001</t>
  </si>
  <si>
    <t>3273145211110003</t>
  </si>
  <si>
    <t>3273142705140004</t>
  </si>
  <si>
    <t>3273145604180001</t>
  </si>
  <si>
    <t>1050085003555001</t>
  </si>
  <si>
    <t>MIMIN KARMINISARI</t>
  </si>
  <si>
    <t>ARRI FERDHIAN</t>
  </si>
  <si>
    <t>Cerai Mati</t>
  </si>
  <si>
    <t>KOMARUDIN</t>
  </si>
  <si>
    <t>ERKA NUGRAHA</t>
  </si>
  <si>
    <t>ADE SITI KHOTIMAH</t>
  </si>
  <si>
    <t>ADINDA ROSPITA WATI PUTRI UTAMI</t>
  </si>
  <si>
    <t>AL FAIZ YUTA PRATAMA</t>
  </si>
  <si>
    <t>SURISMAN, Amd</t>
  </si>
  <si>
    <t>PEMALANG</t>
  </si>
  <si>
    <t>IMELDA PUSPITA SARI</t>
  </si>
  <si>
    <t>DENI</t>
  </si>
  <si>
    <t>ANITA SOLIHAT</t>
  </si>
  <si>
    <t>ARSHAKA MUHAMMAD ARIZKI</t>
  </si>
  <si>
    <t>SAEPUL HAMDANI</t>
  </si>
  <si>
    <t>RITA APRILIANTI</t>
  </si>
  <si>
    <t>FAHRA HUMAIRA AZZAHRA</t>
  </si>
  <si>
    <t>DEDE ANI</t>
  </si>
  <si>
    <t>RANI SAFITRI</t>
  </si>
  <si>
    <t>MUHAMMAD NATHAN ZULFAN ZINAN</t>
  </si>
  <si>
    <t>Cerai Hidup</t>
  </si>
  <si>
    <t>INDRA PERMANA SANJAYA</t>
  </si>
  <si>
    <t>NINA NOPIANA</t>
  </si>
  <si>
    <t>DEKA ARKA SANJAYA</t>
  </si>
  <si>
    <t>MERBAU MATARAM</t>
  </si>
  <si>
    <t>Tidak/Belum Sekolah</t>
  </si>
  <si>
    <t>TIDAK/BELUM SEKOLAH</t>
  </si>
  <si>
    <t>SLTA/SEDERAJAT</t>
  </si>
  <si>
    <t>SLTP/SEDERAJAT</t>
  </si>
  <si>
    <t>SITA PUSPA TRIANA</t>
  </si>
  <si>
    <t>IING SUPRIATNA</t>
  </si>
  <si>
    <t>TINI DJUHARTINI</t>
  </si>
  <si>
    <t>SURABAYA</t>
  </si>
  <si>
    <t>PENSIUNAN PNS</t>
  </si>
  <si>
    <t>UNDANG ZM</t>
  </si>
  <si>
    <t>RANI SUMARTINI</t>
  </si>
  <si>
    <t>RATNA SITI ROMDHONI</t>
  </si>
  <si>
    <t>NURI RISDA</t>
  </si>
  <si>
    <t>BELUM/TIDAK BEKERJA</t>
  </si>
  <si>
    <t>IMAN SULAEMAN</t>
  </si>
  <si>
    <t>YANTI NURYANTI</t>
  </si>
  <si>
    <t>SALMA RAHMIYA</t>
  </si>
  <si>
    <t>RIFKI ABDULLOH</t>
  </si>
  <si>
    <t>RAZIQ RAMADHAN</t>
  </si>
  <si>
    <t>WIRASWASTA</t>
  </si>
  <si>
    <t>KARYAWAN SWASTA</t>
  </si>
  <si>
    <t>MENGURUS RUMAH TANGGA</t>
  </si>
  <si>
    <t>BURUH HARIAN LEPAS</t>
  </si>
  <si>
    <t>PELAJAR/MAHASISWA</t>
  </si>
  <si>
    <t>ACEP IWAN</t>
  </si>
  <si>
    <t>RISCALINA</t>
  </si>
  <si>
    <t>ABDUL ROHIM</t>
  </si>
  <si>
    <t>SITI MARIAH</t>
  </si>
  <si>
    <t>NAYLA ALISNA PUTRI</t>
  </si>
  <si>
    <t>UJANG SURYANA</t>
  </si>
  <si>
    <t>SITI SA'ADAH</t>
  </si>
  <si>
    <t>AHMAD RIJWAN</t>
  </si>
  <si>
    <t>ROBI BASIT</t>
  </si>
  <si>
    <t>CIPATAT</t>
  </si>
  <si>
    <t>MOH.RIFKI PERMADI</t>
  </si>
  <si>
    <t>PINI</t>
  </si>
  <si>
    <t>LIVIA ZEA SALSABILA</t>
  </si>
  <si>
    <t>KUNINGAN</t>
  </si>
  <si>
    <t>RIFQIU ATTAUFIQI</t>
  </si>
  <si>
    <t>p</t>
  </si>
  <si>
    <t>ERNY NURLAENY</t>
  </si>
  <si>
    <t>SOFIFAH NURFAHRANI</t>
  </si>
  <si>
    <t>WIDURI NURSYAHRANI</t>
  </si>
  <si>
    <t>Belum Tamat SD/sederajat</t>
  </si>
  <si>
    <t>SLTP/Sederajat</t>
  </si>
  <si>
    <t>SLTA/Sederajat</t>
  </si>
  <si>
    <t>Tamat SD/Sederajat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</si>
</sst>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15">
    <font>
      <sz val="11"/>
      <color theme="1"/>
      <name val="Calibri"/>
      <family val="2"/>
      <scheme val="minor"/>
    </font>
    <font>
      <b/>
      <i/>
      <sz val="9"/>
      <color indexed="8"/>
      <name val="Arial Unicode MS"/>
      <family val="2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i/>
      <sz val="10"/>
      <color indexed="8"/>
      <name val="Calibri"/>
      <family val="2"/>
      <scheme val="minor"/>
    </font>
    <font>
      <i/>
      <sz val="10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i/>
      <sz val="9"/>
      <color indexed="8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2" fillId="0" borderId="0"/>
  </cellStyleXfs>
  <cellXfs count="161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/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left" vertical="top"/>
    </xf>
    <xf numFmtId="49" fontId="4" fillId="0" borderId="3" xfId="1" applyNumberFormat="1" applyFont="1" applyBorder="1" applyAlignment="1">
      <alignment horizontal="left" vertical="center"/>
    </xf>
    <xf numFmtId="0" fontId="3" fillId="0" borderId="3" xfId="1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4" xfId="1" applyNumberFormat="1" applyFont="1" applyBorder="1" applyAlignment="1">
      <alignment horizontal="left" vertical="top"/>
    </xf>
    <xf numFmtId="49" fontId="4" fillId="0" borderId="4" xfId="1" applyNumberFormat="1" applyFont="1" applyBorder="1" applyAlignment="1">
      <alignment horizontal="left" vertical="center"/>
    </xf>
    <xf numFmtId="0" fontId="3" fillId="0" borderId="4" xfId="1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49" fontId="4" fillId="0" borderId="6" xfId="1" applyNumberFormat="1" applyFont="1" applyBorder="1" applyAlignment="1">
      <alignment horizontal="left" vertical="top"/>
    </xf>
    <xf numFmtId="49" fontId="4" fillId="0" borderId="6" xfId="1" applyNumberFormat="1" applyFont="1" applyBorder="1" applyAlignment="1">
      <alignment horizontal="left" vertical="center"/>
    </xf>
    <xf numFmtId="0" fontId="4" fillId="0" borderId="6" xfId="0" applyFont="1" applyBorder="1" applyAlignment="1">
      <alignment vertical="center"/>
    </xf>
    <xf numFmtId="0" fontId="4" fillId="0" borderId="6" xfId="1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49" fontId="4" fillId="0" borderId="7" xfId="1" applyNumberFormat="1" applyFont="1" applyBorder="1" applyAlignment="1">
      <alignment horizontal="left" vertical="top"/>
    </xf>
    <xf numFmtId="49" fontId="4" fillId="0" borderId="7" xfId="1" applyNumberFormat="1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0" borderId="7" xfId="1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4" xfId="1" applyFont="1" applyBorder="1" applyAlignment="1">
      <alignment horizontal="left" vertical="center"/>
    </xf>
    <xf numFmtId="0" fontId="3" fillId="0" borderId="3" xfId="0" applyFont="1" applyBorder="1" applyAlignment="1">
      <alignment vertical="center"/>
    </xf>
    <xf numFmtId="49" fontId="4" fillId="0" borderId="4" xfId="0" applyNumberFormat="1" applyFont="1" applyBorder="1" applyAlignment="1">
      <alignment horizontal="left" vertical="center"/>
    </xf>
    <xf numFmtId="49" fontId="4" fillId="0" borderId="6" xfId="0" applyNumberFormat="1" applyFont="1" applyBorder="1" applyAlignment="1">
      <alignment horizontal="left" vertical="center"/>
    </xf>
    <xf numFmtId="49" fontId="4" fillId="0" borderId="7" xfId="0" applyNumberFormat="1" applyFont="1" applyBorder="1" applyAlignment="1">
      <alignment horizontal="left" vertical="center"/>
    </xf>
    <xf numFmtId="0" fontId="10" fillId="0" borderId="1" xfId="0" applyFont="1" applyBorder="1" applyAlignment="1">
      <alignment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/>
    </xf>
    <xf numFmtId="164" fontId="4" fillId="0" borderId="3" xfId="1" applyNumberFormat="1" applyFont="1" applyBorder="1" applyAlignment="1">
      <alignment horizontal="left" vertical="center"/>
    </xf>
    <xf numFmtId="0" fontId="12" fillId="0" borderId="3" xfId="1" applyFont="1" applyBorder="1" applyAlignment="1">
      <alignment horizontal="center"/>
    </xf>
    <xf numFmtId="0" fontId="4" fillId="0" borderId="4" xfId="0" applyFont="1" applyBorder="1" applyAlignment="1">
      <alignment horizontal="left" vertical="center"/>
    </xf>
    <xf numFmtId="164" fontId="4" fillId="0" borderId="4" xfId="1" applyNumberFormat="1" applyFont="1" applyBorder="1" applyAlignment="1">
      <alignment horizontal="left" vertical="center"/>
    </xf>
    <xf numFmtId="0" fontId="12" fillId="0" borderId="4" xfId="1" applyFont="1" applyBorder="1" applyAlignment="1">
      <alignment horizontal="center"/>
    </xf>
    <xf numFmtId="0" fontId="4" fillId="0" borderId="6" xfId="0" applyFont="1" applyBorder="1" applyAlignment="1">
      <alignment horizontal="left" vertical="center"/>
    </xf>
    <xf numFmtId="164" fontId="4" fillId="0" borderId="6" xfId="1" applyNumberFormat="1" applyFont="1" applyBorder="1" applyAlignment="1">
      <alignment horizontal="left" vertical="center"/>
    </xf>
    <xf numFmtId="0" fontId="12" fillId="0" borderId="6" xfId="1" applyFont="1" applyBorder="1" applyAlignment="1">
      <alignment horizontal="center"/>
    </xf>
    <xf numFmtId="0" fontId="4" fillId="0" borderId="7" xfId="0" applyFont="1" applyBorder="1" applyAlignment="1">
      <alignment horizontal="left" vertical="center"/>
    </xf>
    <xf numFmtId="164" fontId="4" fillId="0" borderId="7" xfId="1" applyNumberFormat="1" applyFont="1" applyBorder="1" applyAlignment="1">
      <alignment horizontal="left" vertical="center"/>
    </xf>
    <xf numFmtId="0" fontId="12" fillId="0" borderId="7" xfId="1" applyFont="1" applyBorder="1" applyAlignment="1">
      <alignment horizontal="center"/>
    </xf>
    <xf numFmtId="0" fontId="4" fillId="0" borderId="4" xfId="1" applyFont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6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3" xfId="0" applyFont="1" applyBorder="1"/>
    <xf numFmtId="0" fontId="4" fillId="2" borderId="2" xfId="0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vertical="center"/>
    </xf>
    <xf numFmtId="0" fontId="4" fillId="0" borderId="4" xfId="1" applyFont="1" applyBorder="1" applyAlignment="1">
      <alignment vertical="center"/>
    </xf>
    <xf numFmtId="0" fontId="4" fillId="0" borderId="6" xfId="1" applyFont="1" applyBorder="1" applyAlignment="1">
      <alignment vertical="center"/>
    </xf>
    <xf numFmtId="0" fontId="4" fillId="0" borderId="7" xfId="1" applyFont="1" applyBorder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49" fontId="4" fillId="0" borderId="3" xfId="0" applyNumberFormat="1" applyFont="1" applyBorder="1" applyAlignment="1">
      <alignment horizontal="left" vertical="center"/>
    </xf>
    <xf numFmtId="0" fontId="3" fillId="0" borderId="3" xfId="1" applyFont="1" applyBorder="1" applyAlignment="1">
      <alignment horizontal="left" vertical="center"/>
    </xf>
    <xf numFmtId="0" fontId="4" fillId="0" borderId="3" xfId="1" applyFont="1" applyBorder="1" applyAlignment="1">
      <alignment horizontal="left" vertical="center"/>
    </xf>
    <xf numFmtId="0" fontId="4" fillId="2" borderId="2" xfId="0" applyFont="1" applyFill="1" applyBorder="1" applyAlignment="1">
      <alignment vertical="center"/>
    </xf>
    <xf numFmtId="49" fontId="4" fillId="2" borderId="3" xfId="1" applyNumberFormat="1" applyFont="1" applyFill="1" applyBorder="1" applyAlignment="1">
      <alignment horizontal="left" vertical="top"/>
    </xf>
    <xf numFmtId="49" fontId="4" fillId="2" borderId="3" xfId="1" applyNumberFormat="1" applyFont="1" applyFill="1" applyBorder="1" applyAlignment="1">
      <alignment horizontal="left" vertical="center"/>
    </xf>
    <xf numFmtId="0" fontId="4" fillId="2" borderId="3" xfId="1" applyFont="1" applyFill="1" applyBorder="1" applyAlignment="1">
      <alignment horizontal="left" vertical="center"/>
    </xf>
    <xf numFmtId="0" fontId="4" fillId="0" borderId="0" xfId="0" applyFont="1" applyAlignment="1">
      <alignment horizontal="right"/>
    </xf>
    <xf numFmtId="164" fontId="4" fillId="2" borderId="3" xfId="1" applyNumberFormat="1" applyFont="1" applyFill="1" applyBorder="1" applyAlignment="1">
      <alignment horizontal="left" vertical="center"/>
    </xf>
    <xf numFmtId="0" fontId="12" fillId="2" borderId="3" xfId="1" applyFont="1" applyFill="1" applyBorder="1" applyAlignment="1">
      <alignment horizontal="center"/>
    </xf>
    <xf numFmtId="0" fontId="4" fillId="0" borderId="0" xfId="0" applyFont="1" applyFill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12" fillId="2" borderId="7" xfId="1" applyFont="1" applyFill="1" applyBorder="1" applyAlignment="1">
      <alignment horizontal="center"/>
    </xf>
    <xf numFmtId="0" fontId="3" fillId="0" borderId="3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164" fontId="4" fillId="0" borderId="9" xfId="1" applyNumberFormat="1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4" fillId="0" borderId="2" xfId="1" applyFont="1" applyBorder="1" applyAlignment="1">
      <alignment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12" fillId="0" borderId="9" xfId="1" applyFont="1" applyBorder="1" applyAlignment="1">
      <alignment horizontal="center"/>
    </xf>
    <xf numFmtId="49" fontId="4" fillId="2" borderId="4" xfId="1" applyNumberFormat="1" applyFont="1" applyFill="1" applyBorder="1" applyAlignment="1">
      <alignment horizontal="center" vertical="top"/>
    </xf>
    <xf numFmtId="0" fontId="4" fillId="0" borderId="2" xfId="1" applyFont="1" applyBorder="1" applyAlignment="1">
      <alignment horizontal="left" vertical="center"/>
    </xf>
    <xf numFmtId="0" fontId="3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vertical="center"/>
    </xf>
    <xf numFmtId="164" fontId="4" fillId="2" borderId="4" xfId="1" applyNumberFormat="1" applyFont="1" applyFill="1" applyBorder="1" applyAlignment="1">
      <alignment horizontal="left" vertic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2" fillId="2" borderId="4" xfId="1" applyFont="1" applyFill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64" fontId="4" fillId="0" borderId="5" xfId="1" applyNumberFormat="1" applyFont="1" applyBorder="1" applyAlignment="1">
      <alignment horizontal="left" vertical="center"/>
    </xf>
    <xf numFmtId="0" fontId="12" fillId="0" borderId="5" xfId="1" applyFont="1" applyBorder="1" applyAlignment="1">
      <alignment horizontal="center"/>
    </xf>
    <xf numFmtId="0" fontId="4" fillId="0" borderId="10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164" fontId="4" fillId="2" borderId="7" xfId="1" applyNumberFormat="1" applyFont="1" applyFill="1" applyBorder="1" applyAlignment="1">
      <alignment horizontal="left" vertical="center"/>
    </xf>
    <xf numFmtId="0" fontId="4" fillId="2" borderId="7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11" fillId="2" borderId="2" xfId="0" applyFont="1" applyFill="1" applyBorder="1" applyAlignment="1">
      <alignment horizontal="center" vertical="center" wrapText="1"/>
    </xf>
    <xf numFmtId="0" fontId="4" fillId="0" borderId="5" xfId="1" applyFont="1" applyBorder="1" applyAlignment="1">
      <alignment horizontal="left" vertical="center"/>
    </xf>
    <xf numFmtId="0" fontId="3" fillId="0" borderId="3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5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164" fontId="4" fillId="0" borderId="7" xfId="1" applyNumberFormat="1" applyFont="1" applyFill="1" applyBorder="1" applyAlignment="1">
      <alignment horizontal="left" vertical="center"/>
    </xf>
    <xf numFmtId="0" fontId="12" fillId="0" borderId="7" xfId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top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241</xdr:row>
      <xdr:rowOff>9525</xdr:rowOff>
    </xdr:from>
    <xdr:to>
      <xdr:col>7</xdr:col>
      <xdr:colOff>323850</xdr:colOff>
      <xdr:row>250</xdr:row>
      <xdr:rowOff>19050</xdr:rowOff>
    </xdr:to>
    <xdr:grpSp>
      <xdr:nvGrpSpPr>
        <xdr:cNvPr id="2095" name="Group 31">
          <a:extLst>
            <a:ext uri="{FF2B5EF4-FFF2-40B4-BE49-F238E27FC236}">
              <a16:creationId xmlns:a16="http://schemas.microsoft.com/office/drawing/2014/main" id="{7E71E33D-3B13-418D-8ACE-AA4D9B435B8C}"/>
            </a:ext>
          </a:extLst>
        </xdr:cNvPr>
        <xdr:cNvGrpSpPr>
          <a:grpSpLocks/>
        </xdr:cNvGrpSpPr>
      </xdr:nvGrpSpPr>
      <xdr:grpSpPr bwMode="auto">
        <a:xfrm>
          <a:off x="7172325" y="37004625"/>
          <a:ext cx="752475" cy="1381125"/>
          <a:chOff x="2543280" y="419433"/>
          <a:chExt cx="1927089" cy="1397239"/>
        </a:xfrm>
      </xdr:grpSpPr>
      <xdr:grpSp>
        <xdr:nvGrpSpPr>
          <xdr:cNvPr id="2096" name="Group 32">
            <a:extLst>
              <a:ext uri="{FF2B5EF4-FFF2-40B4-BE49-F238E27FC236}">
                <a16:creationId xmlns:a16="http://schemas.microsoft.com/office/drawing/2014/main" id="{3008D3AF-DF85-41BE-89EB-F68899327DFA}"/>
              </a:ext>
            </a:extLst>
          </xdr:cNvPr>
          <xdr:cNvGrpSpPr>
            <a:grpSpLocks/>
          </xdr:cNvGrpSpPr>
        </xdr:nvGrpSpPr>
        <xdr:grpSpPr bwMode="auto">
          <a:xfrm>
            <a:off x="2552813" y="419433"/>
            <a:ext cx="819847" cy="1397239"/>
            <a:chOff x="2486138" y="275653"/>
            <a:chExt cx="819847" cy="1526144"/>
          </a:xfrm>
        </xdr:grpSpPr>
        <xdr:pic>
          <xdr:nvPicPr>
            <xdr:cNvPr id="2097" name="Graphic 35" descr="User">
              <a:extLst>
                <a:ext uri="{FF2B5EF4-FFF2-40B4-BE49-F238E27FC236}">
                  <a16:creationId xmlns:a16="http://schemas.microsoft.com/office/drawing/2014/main" id="{85F7FC67-16C1-45C4-BCB2-1B133B5BDAFF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2667267" y="275653"/>
              <a:ext cx="428989" cy="43153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0D951F03-147C-4F62-927B-4A9832A923EF}"/>
                </a:ext>
              </a:extLst>
            </xdr:cNvPr>
            <xdr:cNvSpPr txBox="1"/>
          </xdr:nvSpPr>
          <xdr:spPr>
            <a:xfrm>
              <a:off x="2476606" y="1233440"/>
              <a:ext cx="829379" cy="568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r>
                <a:rPr lang="id-ID" sz="1000" b="0">
                  <a:solidFill>
                    <a:schemeClr val="bg1"/>
                  </a:solidFill>
                  <a:latin typeface="Arial Black" panose="020B0A04020102020204" pitchFamily="34" charset="0"/>
                </a:rPr>
                <a:t>Jumlah</a:t>
              </a:r>
              <a:r>
                <a:rPr lang="id-ID" sz="1000" b="0" baseline="0">
                  <a:solidFill>
                    <a:schemeClr val="bg1"/>
                  </a:solidFill>
                  <a:latin typeface="Arial Black" panose="020B0A04020102020204" pitchFamily="34" charset="0"/>
                </a:rPr>
                <a:t> </a:t>
              </a:r>
              <a:endParaRPr lang="en-US" sz="1000" b="0" baseline="0">
                <a:solidFill>
                  <a:schemeClr val="bg1"/>
                </a:solidFill>
                <a:latin typeface="Arial Black" panose="020B0A04020102020204" pitchFamily="34" charset="0"/>
              </a:endParaRPr>
            </a:p>
            <a:p>
              <a:pPr algn="ctr"/>
              <a:r>
                <a:rPr lang="en-US" sz="1000" b="0" baseline="0">
                  <a:solidFill>
                    <a:schemeClr val="bg1"/>
                  </a:solidFill>
                  <a:latin typeface="Arial Black" panose="020B0A04020102020204" pitchFamily="34" charset="0"/>
                </a:rPr>
                <a:t>Penduduk</a:t>
              </a:r>
              <a:endParaRPr lang="id-ID" sz="1000" b="0">
                <a:solidFill>
                  <a:schemeClr val="bg1"/>
                </a:solidFill>
                <a:latin typeface="Arial Black" panose="020B0A04020102020204" pitchFamily="34" charset="0"/>
              </a:endParaRPr>
            </a:p>
          </xdr:txBody>
        </xdr:sp>
        <xdr:sp macro="" textlink="[1]REKAPITULASI!$F$10">
          <xdr:nvSpPr>
            <xdr:cNvPr id="31" name="Rectangle 30">
              <a:extLst>
                <a:ext uri="{FF2B5EF4-FFF2-40B4-BE49-F238E27FC236}">
                  <a16:creationId xmlns:a16="http://schemas.microsoft.com/office/drawing/2014/main" id="{96F18A51-9232-4165-B2A8-E530CD1002E0}"/>
                </a:ext>
              </a:extLst>
            </xdr:cNvPr>
            <xdr:cNvSpPr/>
          </xdr:nvSpPr>
          <xdr:spPr>
            <a:xfrm>
              <a:off x="2574180" y="654558"/>
              <a:ext cx="585444" cy="684134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8350F36-8FB3-4DCF-BEA5-F3A1C8CB2204}" type="TxLink">
                <a:rPr lang="en-US" sz="2000" b="1" i="0" u="none" strike="noStrike">
                  <a:solidFill>
                    <a:schemeClr val="accent3">
                      <a:lumMod val="20000"/>
                      <a:lumOff val="80000"/>
                    </a:schemeClr>
                  </a:solidFill>
                  <a:latin typeface="Roboto Condensed"/>
                  <a:ea typeface="Roboto Condensed"/>
                </a:rPr>
                <a:pPr algn="ctr"/>
                <a:t>​</a:t>
              </a:fld>
              <a:endParaRPr lang="en-US" sz="4000" b="1">
                <a:solidFill>
                  <a:schemeClr val="accent3">
                    <a:lumMod val="20000"/>
                    <a:lumOff val="80000"/>
                  </a:schemeClr>
                </a:solidFill>
              </a:endParaRPr>
            </a:p>
          </xdr:txBody>
        </xdr:sp>
      </xdr:grp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C6BE5D55-EF96-4555-BE58-7ABF2B3DE2E5}"/>
              </a:ext>
            </a:extLst>
          </xdr:cNvPr>
          <xdr:cNvSpPr/>
        </xdr:nvSpPr>
        <xdr:spPr>
          <a:xfrm>
            <a:off x="2543280" y="814514"/>
            <a:ext cx="1927089" cy="549259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marL="0" indent="0" algn="ctr"/>
            <a:r>
              <a:rPr lang="en-US" sz="3200" b="0" cap="none" spc="0">
                <a:ln w="0">
                  <a:solidFill>
                    <a:schemeClr val="bg2"/>
                  </a:solidFill>
                </a:ln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ernard MT Condensed" panose="02050806060905020404" pitchFamily="18" charset="0"/>
                <a:ea typeface="+mn-ea"/>
                <a:cs typeface="+mn-cs"/>
              </a:rPr>
              <a:t>224</a:t>
            </a: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ownloads/TEMPLPATE%20AND%20CODING/DATABSE%20PENDUDUK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DATAPENDUDUK"/>
      <sheetName val="CARIDATA"/>
      <sheetName val="MENINGGAL"/>
      <sheetName val="PINDAH"/>
      <sheetName val="USIA"/>
      <sheetName val="REKAPITULASI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S242"/>
  <sheetViews>
    <sheetView tabSelected="1" view="pageBreakPreview" zoomScaleNormal="100" zoomScaleSheetLayoutView="100" workbookViewId="0">
      <selection activeCell="M37" sqref="M37"/>
    </sheetView>
  </sheetViews>
  <sheetFormatPr defaultRowHeight="12"/>
  <cols>
    <col min="1" max="1" width="6.5703125" style="4" customWidth="1"/>
    <col min="2" max="2" width="27.140625" style="3" customWidth="1"/>
    <col min="3" max="3" width="37.140625" style="3" customWidth="1"/>
    <col min="4" max="4" width="7.140625" style="4" customWidth="1"/>
    <col min="5" max="5" width="15" style="3" customWidth="1"/>
    <col min="6" max="6" width="15.85546875" style="4" customWidth="1"/>
    <col min="7" max="7" width="15.5703125" style="4" customWidth="1"/>
    <col min="8" max="8" width="9.7109375" style="4" customWidth="1"/>
    <col min="9" max="9" width="11.5703125" style="3" customWidth="1"/>
    <col min="10" max="10" width="6.42578125" style="3" customWidth="1"/>
    <col min="11" max="11" width="9.5703125" style="3" customWidth="1"/>
    <col min="12" max="12" width="10.140625" style="4" customWidth="1"/>
    <col min="13" max="13" width="29.85546875" style="3" customWidth="1"/>
    <col min="14" max="14" width="24.5703125" style="3" customWidth="1"/>
    <col min="15" max="15" width="16.7109375" style="4" customWidth="1"/>
    <col min="16" max="16" width="16.140625" style="3" customWidth="1"/>
    <col min="17" max="16384" width="9.140625" style="3"/>
  </cols>
  <sheetData>
    <row r="1" spans="1:16" s="1" customFormat="1" ht="18.75">
      <c r="A1" s="149"/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</row>
    <row r="2" spans="1:16" s="1" customFormat="1" ht="18.75">
      <c r="A2" s="149"/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</row>
    <row r="4" spans="1:16">
      <c r="A4" s="150" t="s">
        <v>3</v>
      </c>
      <c r="B4" s="150" t="s">
        <v>4</v>
      </c>
      <c r="C4" s="150" t="s">
        <v>5</v>
      </c>
      <c r="D4" s="150" t="s">
        <v>6</v>
      </c>
      <c r="E4" s="150" t="s">
        <v>7</v>
      </c>
      <c r="F4" s="150" t="s">
        <v>8</v>
      </c>
      <c r="G4" s="150" t="s">
        <v>9</v>
      </c>
      <c r="H4" s="150" t="s">
        <v>10</v>
      </c>
      <c r="I4" s="150" t="s">
        <v>11</v>
      </c>
      <c r="J4" s="150" t="s">
        <v>12</v>
      </c>
      <c r="K4" s="150" t="s">
        <v>13</v>
      </c>
      <c r="L4" s="150" t="s">
        <v>14</v>
      </c>
      <c r="M4" s="152" t="s">
        <v>15</v>
      </c>
      <c r="N4" s="150" t="s">
        <v>16</v>
      </c>
      <c r="O4" s="150" t="s">
        <v>17</v>
      </c>
      <c r="P4" s="150" t="s">
        <v>18</v>
      </c>
    </row>
    <row r="5" spans="1:16">
      <c r="A5" s="151"/>
      <c r="B5" s="151"/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3"/>
      <c r="N5" s="151"/>
      <c r="O5" s="151"/>
      <c r="P5" s="151"/>
    </row>
    <row r="6" spans="1:16">
      <c r="A6" s="14" t="s">
        <v>19</v>
      </c>
      <c r="B6" s="17" t="s">
        <v>20</v>
      </c>
      <c r="C6" s="17" t="s">
        <v>20</v>
      </c>
      <c r="D6" s="18" t="s">
        <v>21</v>
      </c>
      <c r="E6" s="19" t="s">
        <v>22</v>
      </c>
      <c r="F6" s="47" t="s">
        <v>23</v>
      </c>
      <c r="G6" s="48">
        <v>33452</v>
      </c>
      <c r="H6" s="49">
        <f ca="1">INT((TODAY()-G6)/365)</f>
        <v>35</v>
      </c>
      <c r="I6" s="19" t="s">
        <v>24</v>
      </c>
      <c r="J6" s="19" t="s">
        <v>25</v>
      </c>
      <c r="K6" s="19" t="s">
        <v>26</v>
      </c>
      <c r="L6" s="18" t="s">
        <v>27</v>
      </c>
      <c r="M6" s="19" t="s">
        <v>721</v>
      </c>
      <c r="N6" s="19" t="s">
        <v>737</v>
      </c>
      <c r="O6" s="18" t="s">
        <v>30</v>
      </c>
      <c r="P6" s="46" t="s">
        <v>31</v>
      </c>
    </row>
    <row r="7" spans="1:16" s="2" customFormat="1">
      <c r="A7" s="145" t="s">
        <v>32</v>
      </c>
      <c r="B7" s="23" t="s">
        <v>33</v>
      </c>
      <c r="C7" s="23" t="s">
        <v>33</v>
      </c>
      <c r="D7" s="24" t="s">
        <v>21</v>
      </c>
      <c r="E7" s="25" t="s">
        <v>22</v>
      </c>
      <c r="F7" s="50" t="s">
        <v>23</v>
      </c>
      <c r="G7" s="51">
        <v>27143</v>
      </c>
      <c r="H7" s="52">
        <f ca="1">INT((TODAY()-G7)/365)</f>
        <v>52</v>
      </c>
      <c r="I7" s="25" t="s">
        <v>24</v>
      </c>
      <c r="J7" s="25" t="s">
        <v>25</v>
      </c>
      <c r="K7" s="25" t="s">
        <v>26</v>
      </c>
      <c r="L7" s="24" t="s">
        <v>27</v>
      </c>
      <c r="M7" s="25" t="s">
        <v>720</v>
      </c>
      <c r="N7" s="25" t="s">
        <v>738</v>
      </c>
      <c r="O7" s="145" t="s">
        <v>36</v>
      </c>
      <c r="P7" s="19" t="s">
        <v>37</v>
      </c>
    </row>
    <row r="8" spans="1:16" s="2" customFormat="1">
      <c r="A8" s="146"/>
      <c r="B8" s="29"/>
      <c r="C8" s="30" t="s">
        <v>38</v>
      </c>
      <c r="D8" s="31" t="s">
        <v>39</v>
      </c>
      <c r="E8" s="29" t="s">
        <v>40</v>
      </c>
      <c r="F8" s="53" t="s">
        <v>41</v>
      </c>
      <c r="G8" s="54">
        <v>27103</v>
      </c>
      <c r="H8" s="55">
        <f t="shared" ref="H8:H72" ca="1" si="0">INT((TODAY()-G8)/365)</f>
        <v>52</v>
      </c>
      <c r="I8" s="29" t="s">
        <v>24</v>
      </c>
      <c r="J8" s="29" t="s">
        <v>25</v>
      </c>
      <c r="K8" s="29" t="s">
        <v>26</v>
      </c>
      <c r="L8" s="31" t="s">
        <v>27</v>
      </c>
      <c r="M8" s="29" t="s">
        <v>720</v>
      </c>
      <c r="N8" s="29" t="s">
        <v>739</v>
      </c>
      <c r="O8" s="146"/>
      <c r="P8" s="19" t="s">
        <v>37</v>
      </c>
    </row>
    <row r="9" spans="1:16" s="2" customFormat="1">
      <c r="A9" s="146"/>
      <c r="B9" s="29"/>
      <c r="C9" s="30" t="s">
        <v>43</v>
      </c>
      <c r="D9" s="31" t="s">
        <v>39</v>
      </c>
      <c r="E9" s="29" t="s">
        <v>44</v>
      </c>
      <c r="F9" s="53" t="s">
        <v>23</v>
      </c>
      <c r="G9" s="54">
        <v>37280</v>
      </c>
      <c r="H9" s="55">
        <f t="shared" ca="1" si="0"/>
        <v>24</v>
      </c>
      <c r="I9" s="29" t="s">
        <v>45</v>
      </c>
      <c r="J9" s="29" t="s">
        <v>25</v>
      </c>
      <c r="K9" s="29" t="s">
        <v>26</v>
      </c>
      <c r="L9" s="31" t="s">
        <v>27</v>
      </c>
      <c r="M9" s="29" t="s">
        <v>155</v>
      </c>
      <c r="N9" s="29" t="s">
        <v>738</v>
      </c>
      <c r="O9" s="146"/>
      <c r="P9" s="19" t="s">
        <v>37</v>
      </c>
    </row>
    <row r="10" spans="1:16" s="2" customFormat="1">
      <c r="A10" s="146"/>
      <c r="B10" s="29"/>
      <c r="C10" s="30" t="s">
        <v>47</v>
      </c>
      <c r="D10" s="31" t="s">
        <v>39</v>
      </c>
      <c r="E10" s="29" t="s">
        <v>44</v>
      </c>
      <c r="F10" s="53" t="s">
        <v>48</v>
      </c>
      <c r="G10" s="54">
        <v>39850</v>
      </c>
      <c r="H10" s="55">
        <f t="shared" ca="1" si="0"/>
        <v>17</v>
      </c>
      <c r="I10" s="29" t="s">
        <v>45</v>
      </c>
      <c r="J10" s="29" t="s">
        <v>25</v>
      </c>
      <c r="K10" s="29" t="s">
        <v>26</v>
      </c>
      <c r="L10" s="31" t="s">
        <v>27</v>
      </c>
      <c r="M10" s="29" t="s">
        <v>762</v>
      </c>
      <c r="N10" s="29" t="s">
        <v>741</v>
      </c>
      <c r="O10" s="146"/>
      <c r="P10" s="19" t="s">
        <v>37</v>
      </c>
    </row>
    <row r="11" spans="1:16" s="2" customFormat="1">
      <c r="A11" s="147"/>
      <c r="B11" s="35"/>
      <c r="C11" s="36" t="s">
        <v>51</v>
      </c>
      <c r="D11" s="37" t="s">
        <v>39</v>
      </c>
      <c r="E11" s="35" t="s">
        <v>52</v>
      </c>
      <c r="F11" s="56" t="s">
        <v>41</v>
      </c>
      <c r="G11" s="57">
        <v>19816</v>
      </c>
      <c r="H11" s="58">
        <f t="shared" ca="1" si="0"/>
        <v>72</v>
      </c>
      <c r="I11" s="35" t="s">
        <v>53</v>
      </c>
      <c r="J11" s="35" t="s">
        <v>25</v>
      </c>
      <c r="K11" s="35" t="s">
        <v>26</v>
      </c>
      <c r="L11" s="37" t="s">
        <v>27</v>
      </c>
      <c r="M11" s="35" t="s">
        <v>721</v>
      </c>
      <c r="N11" s="35" t="s">
        <v>739</v>
      </c>
      <c r="O11" s="147"/>
      <c r="P11" s="19" t="s">
        <v>37</v>
      </c>
    </row>
    <row r="12" spans="1:16" s="2" customFormat="1">
      <c r="A12" s="145" t="s">
        <v>54</v>
      </c>
      <c r="B12" s="38" t="s">
        <v>55</v>
      </c>
      <c r="C12" s="39" t="s">
        <v>55</v>
      </c>
      <c r="D12" s="24" t="s">
        <v>21</v>
      </c>
      <c r="E12" s="25" t="s">
        <v>22</v>
      </c>
      <c r="F12" s="59" t="s">
        <v>23</v>
      </c>
      <c r="G12" s="51">
        <v>26874</v>
      </c>
      <c r="H12" s="52">
        <f t="shared" ca="1" si="0"/>
        <v>53</v>
      </c>
      <c r="I12" s="25" t="s">
        <v>24</v>
      </c>
      <c r="J12" s="25" t="s">
        <v>25</v>
      </c>
      <c r="K12" s="25" t="s">
        <v>26</v>
      </c>
      <c r="L12" s="24" t="s">
        <v>27</v>
      </c>
      <c r="M12" s="25" t="s">
        <v>720</v>
      </c>
      <c r="N12" s="25" t="s">
        <v>738</v>
      </c>
      <c r="O12" s="145" t="s">
        <v>30</v>
      </c>
      <c r="P12" s="46" t="s">
        <v>31</v>
      </c>
    </row>
    <row r="13" spans="1:16" s="2" customFormat="1">
      <c r="A13" s="147"/>
      <c r="B13" s="35"/>
      <c r="C13" s="36" t="s">
        <v>56</v>
      </c>
      <c r="D13" s="37" t="s">
        <v>39</v>
      </c>
      <c r="E13" s="35" t="s">
        <v>40</v>
      </c>
      <c r="F13" s="36" t="s">
        <v>23</v>
      </c>
      <c r="G13" s="57">
        <v>28905</v>
      </c>
      <c r="H13" s="58">
        <f t="shared" ca="1" si="0"/>
        <v>47</v>
      </c>
      <c r="I13" s="35" t="s">
        <v>24</v>
      </c>
      <c r="J13" s="35" t="s">
        <v>25</v>
      </c>
      <c r="K13" s="35" t="s">
        <v>26</v>
      </c>
      <c r="L13" s="37" t="s">
        <v>27</v>
      </c>
      <c r="M13" s="35" t="s">
        <v>720</v>
      </c>
      <c r="N13" s="35" t="s">
        <v>739</v>
      </c>
      <c r="O13" s="147"/>
      <c r="P13" s="46" t="s">
        <v>31</v>
      </c>
    </row>
    <row r="14" spans="1:16" s="2" customFormat="1">
      <c r="A14" s="88" t="s">
        <v>57</v>
      </c>
      <c r="B14" s="89"/>
      <c r="C14" s="90"/>
      <c r="D14" s="66"/>
      <c r="E14" s="68"/>
      <c r="F14" s="67"/>
      <c r="G14" s="82"/>
      <c r="H14" s="92"/>
      <c r="I14" s="68"/>
      <c r="J14" s="68"/>
      <c r="K14" s="68"/>
      <c r="L14" s="66"/>
      <c r="M14" s="68"/>
      <c r="N14" s="68"/>
      <c r="O14" s="90" t="s">
        <v>58</v>
      </c>
      <c r="P14" s="133"/>
    </row>
    <row r="15" spans="1:16" s="2" customFormat="1">
      <c r="A15" s="145" t="s">
        <v>59</v>
      </c>
      <c r="B15" s="39" t="s">
        <v>60</v>
      </c>
      <c r="C15" s="39" t="s">
        <v>60</v>
      </c>
      <c r="D15" s="24" t="s">
        <v>21</v>
      </c>
      <c r="E15" s="25" t="s">
        <v>22</v>
      </c>
      <c r="F15" s="36" t="s">
        <v>128</v>
      </c>
      <c r="G15" s="57">
        <v>26764</v>
      </c>
      <c r="H15" s="58">
        <f t="shared" ca="1" si="0"/>
        <v>53</v>
      </c>
      <c r="I15" s="25" t="s">
        <v>24</v>
      </c>
      <c r="J15" s="35" t="s">
        <v>25</v>
      </c>
      <c r="K15" s="35" t="s">
        <v>26</v>
      </c>
      <c r="L15" s="37" t="s">
        <v>27</v>
      </c>
      <c r="M15" s="25" t="s">
        <v>98</v>
      </c>
      <c r="N15" s="25" t="s">
        <v>740</v>
      </c>
      <c r="O15" s="145" t="s">
        <v>30</v>
      </c>
      <c r="P15" s="19" t="s">
        <v>37</v>
      </c>
    </row>
    <row r="16" spans="1:16" s="2" customFormat="1">
      <c r="A16" s="146"/>
      <c r="B16" s="29"/>
      <c r="C16" s="29" t="s">
        <v>710</v>
      </c>
      <c r="D16" s="31" t="s">
        <v>39</v>
      </c>
      <c r="E16" s="29" t="s">
        <v>40</v>
      </c>
      <c r="F16" s="59" t="s">
        <v>128</v>
      </c>
      <c r="G16" s="57">
        <v>26881</v>
      </c>
      <c r="H16" s="58">
        <f t="shared" ca="1" si="0"/>
        <v>53</v>
      </c>
      <c r="I16" s="29" t="s">
        <v>24</v>
      </c>
      <c r="J16" s="35" t="s">
        <v>25</v>
      </c>
      <c r="K16" s="35" t="s">
        <v>26</v>
      </c>
      <c r="L16" s="37" t="s">
        <v>27</v>
      </c>
      <c r="M16" s="25" t="s">
        <v>98</v>
      </c>
      <c r="N16" s="35" t="s">
        <v>739</v>
      </c>
      <c r="O16" s="146"/>
      <c r="P16" s="19" t="s">
        <v>37</v>
      </c>
    </row>
    <row r="17" spans="1:16" s="2" customFormat="1">
      <c r="A17" s="146"/>
      <c r="B17" s="91"/>
      <c r="C17" s="91" t="s">
        <v>711</v>
      </c>
      <c r="D17" s="31" t="s">
        <v>39</v>
      </c>
      <c r="E17" s="29" t="s">
        <v>44</v>
      </c>
      <c r="F17" s="59" t="s">
        <v>128</v>
      </c>
      <c r="G17" s="57">
        <v>39778</v>
      </c>
      <c r="H17" s="58">
        <f t="shared" ca="1" si="0"/>
        <v>17</v>
      </c>
      <c r="I17" s="29" t="s">
        <v>45</v>
      </c>
      <c r="J17" s="35" t="s">
        <v>25</v>
      </c>
      <c r="K17" s="35" t="s">
        <v>26</v>
      </c>
      <c r="L17" s="37" t="s">
        <v>27</v>
      </c>
      <c r="M17" s="25" t="s">
        <v>720</v>
      </c>
      <c r="N17" s="29" t="s">
        <v>741</v>
      </c>
      <c r="O17" s="146"/>
      <c r="P17" s="19" t="s">
        <v>37</v>
      </c>
    </row>
    <row r="18" spans="1:16" s="2" customFormat="1">
      <c r="A18" s="146"/>
      <c r="B18" s="127"/>
      <c r="C18" s="127" t="s">
        <v>742</v>
      </c>
      <c r="D18" s="116" t="s">
        <v>21</v>
      </c>
      <c r="E18" s="25" t="s">
        <v>22</v>
      </c>
      <c r="F18" s="35" t="s">
        <v>23</v>
      </c>
      <c r="G18" s="124">
        <v>33579</v>
      </c>
      <c r="H18" s="58">
        <f t="shared" ca="1" si="0"/>
        <v>34</v>
      </c>
      <c r="I18" s="25" t="s">
        <v>24</v>
      </c>
      <c r="J18" s="25" t="s">
        <v>25</v>
      </c>
      <c r="K18" s="25" t="s">
        <v>26</v>
      </c>
      <c r="L18" s="117" t="s">
        <v>27</v>
      </c>
      <c r="M18" s="25" t="s">
        <v>720</v>
      </c>
      <c r="N18" s="35" t="s">
        <v>738</v>
      </c>
      <c r="O18" s="146"/>
      <c r="P18" s="19" t="s">
        <v>37</v>
      </c>
    </row>
    <row r="19" spans="1:16" s="2" customFormat="1">
      <c r="A19" s="147"/>
      <c r="B19" s="26"/>
      <c r="C19" s="134" t="s">
        <v>743</v>
      </c>
      <c r="D19" s="116" t="s">
        <v>39</v>
      </c>
      <c r="E19" s="29" t="s">
        <v>40</v>
      </c>
      <c r="F19" s="26" t="s">
        <v>128</v>
      </c>
      <c r="G19" s="124">
        <v>35097</v>
      </c>
      <c r="H19" s="58">
        <f t="shared" ca="1" si="0"/>
        <v>30</v>
      </c>
      <c r="I19" s="29" t="s">
        <v>24</v>
      </c>
      <c r="J19" s="29" t="s">
        <v>25</v>
      </c>
      <c r="K19" s="29" t="s">
        <v>26</v>
      </c>
      <c r="L19" s="118" t="s">
        <v>27</v>
      </c>
      <c r="M19" s="25" t="s">
        <v>720</v>
      </c>
      <c r="N19" s="29" t="s">
        <v>739</v>
      </c>
      <c r="O19" s="147"/>
      <c r="P19" s="19" t="s">
        <v>37</v>
      </c>
    </row>
    <row r="20" spans="1:16" s="2" customFormat="1">
      <c r="A20" s="145" t="s">
        <v>64</v>
      </c>
      <c r="B20" s="38" t="s">
        <v>65</v>
      </c>
      <c r="C20" s="38" t="s">
        <v>65</v>
      </c>
      <c r="D20" s="24" t="s">
        <v>21</v>
      </c>
      <c r="E20" s="25" t="s">
        <v>22</v>
      </c>
      <c r="F20" s="50" t="s">
        <v>23</v>
      </c>
      <c r="G20" s="51">
        <v>26812</v>
      </c>
      <c r="H20" s="52">
        <f t="shared" ca="1" si="0"/>
        <v>53</v>
      </c>
      <c r="I20" s="25" t="s">
        <v>24</v>
      </c>
      <c r="J20" s="25" t="s">
        <v>25</v>
      </c>
      <c r="K20" s="35" t="s">
        <v>26</v>
      </c>
      <c r="L20" s="24" t="s">
        <v>27</v>
      </c>
      <c r="M20" s="25" t="s">
        <v>720</v>
      </c>
      <c r="N20" s="25" t="s">
        <v>738</v>
      </c>
      <c r="O20" s="145" t="s">
        <v>36</v>
      </c>
      <c r="P20" s="19" t="s">
        <v>37</v>
      </c>
    </row>
    <row r="21" spans="1:16" s="2" customFormat="1">
      <c r="A21" s="146"/>
      <c r="B21" s="29"/>
      <c r="C21" s="29" t="s">
        <v>66</v>
      </c>
      <c r="D21" s="31" t="s">
        <v>39</v>
      </c>
      <c r="E21" s="29" t="s">
        <v>40</v>
      </c>
      <c r="F21" s="53" t="s">
        <v>23</v>
      </c>
      <c r="G21" s="54">
        <v>28006</v>
      </c>
      <c r="H21" s="55">
        <f t="shared" ca="1" si="0"/>
        <v>50</v>
      </c>
      <c r="I21" s="29" t="s">
        <v>24</v>
      </c>
      <c r="J21" s="29" t="s">
        <v>25</v>
      </c>
      <c r="K21" s="29" t="s">
        <v>26</v>
      </c>
      <c r="L21" s="31" t="s">
        <v>27</v>
      </c>
      <c r="M21" s="29" t="s">
        <v>720</v>
      </c>
      <c r="N21" s="29" t="s">
        <v>738</v>
      </c>
      <c r="O21" s="146"/>
      <c r="P21" s="19" t="s">
        <v>37</v>
      </c>
    </row>
    <row r="22" spans="1:16" s="2" customFormat="1">
      <c r="A22" s="146"/>
      <c r="B22" s="29"/>
      <c r="C22" s="29" t="s">
        <v>67</v>
      </c>
      <c r="D22" s="31" t="s">
        <v>21</v>
      </c>
      <c r="E22" s="29" t="s">
        <v>44</v>
      </c>
      <c r="F22" s="53" t="s">
        <v>23</v>
      </c>
      <c r="G22" s="54">
        <v>36681</v>
      </c>
      <c r="H22" s="55">
        <f t="shared" ca="1" si="0"/>
        <v>26</v>
      </c>
      <c r="I22" s="29" t="s">
        <v>45</v>
      </c>
      <c r="J22" s="29" t="s">
        <v>25</v>
      </c>
      <c r="K22" s="29" t="s">
        <v>26</v>
      </c>
      <c r="L22" s="31" t="s">
        <v>27</v>
      </c>
      <c r="M22" s="29" t="s">
        <v>155</v>
      </c>
      <c r="N22" s="29" t="s">
        <v>738</v>
      </c>
      <c r="O22" s="146"/>
      <c r="P22" s="19" t="s">
        <v>37</v>
      </c>
    </row>
    <row r="23" spans="1:16" s="2" customFormat="1">
      <c r="A23" s="147"/>
      <c r="B23" s="35"/>
      <c r="C23" s="35" t="s">
        <v>69</v>
      </c>
      <c r="D23" s="37" t="s">
        <v>21</v>
      </c>
      <c r="E23" s="35" t="s">
        <v>44</v>
      </c>
      <c r="F23" s="56" t="s">
        <v>23</v>
      </c>
      <c r="G23" s="57">
        <v>39756</v>
      </c>
      <c r="H23" s="58">
        <f t="shared" ca="1" si="0"/>
        <v>17</v>
      </c>
      <c r="I23" s="35" t="s">
        <v>45</v>
      </c>
      <c r="J23" s="35" t="s">
        <v>25</v>
      </c>
      <c r="K23" s="35" t="s">
        <v>26</v>
      </c>
      <c r="L23" s="37" t="s">
        <v>27</v>
      </c>
      <c r="M23" s="29" t="s">
        <v>762</v>
      </c>
      <c r="N23" s="35" t="s">
        <v>741</v>
      </c>
      <c r="O23" s="147"/>
      <c r="P23" s="19" t="s">
        <v>37</v>
      </c>
    </row>
    <row r="24" spans="1:16" s="2" customFormat="1">
      <c r="A24" s="145" t="s">
        <v>70</v>
      </c>
      <c r="B24" s="38" t="s">
        <v>71</v>
      </c>
      <c r="C24" s="38" t="s">
        <v>71</v>
      </c>
      <c r="D24" s="24" t="s">
        <v>21</v>
      </c>
      <c r="E24" s="25" t="s">
        <v>22</v>
      </c>
      <c r="F24" s="59" t="s">
        <v>48</v>
      </c>
      <c r="G24" s="51">
        <v>32372</v>
      </c>
      <c r="H24" s="52">
        <f t="shared" ca="1" si="0"/>
        <v>38</v>
      </c>
      <c r="I24" s="25" t="s">
        <v>24</v>
      </c>
      <c r="J24" s="25" t="s">
        <v>25</v>
      </c>
      <c r="K24" s="25" t="s">
        <v>26</v>
      </c>
      <c r="L24" s="119" t="s">
        <v>27</v>
      </c>
      <c r="M24" s="25" t="s">
        <v>720</v>
      </c>
      <c r="N24" s="25" t="s">
        <v>737</v>
      </c>
      <c r="O24" s="145" t="s">
        <v>36</v>
      </c>
      <c r="P24" s="19" t="s">
        <v>37</v>
      </c>
    </row>
    <row r="25" spans="1:16" s="2" customFormat="1">
      <c r="A25" s="146"/>
      <c r="B25" s="29"/>
      <c r="C25" s="29" t="s">
        <v>72</v>
      </c>
      <c r="D25" s="31" t="s">
        <v>39</v>
      </c>
      <c r="E25" s="29" t="s">
        <v>40</v>
      </c>
      <c r="F25" s="30" t="s">
        <v>23</v>
      </c>
      <c r="G25" s="54">
        <v>32673</v>
      </c>
      <c r="H25" s="55">
        <f t="shared" ca="1" si="0"/>
        <v>37</v>
      </c>
      <c r="I25" s="29" t="s">
        <v>24</v>
      </c>
      <c r="J25" s="29" t="s">
        <v>25</v>
      </c>
      <c r="K25" s="29" t="s">
        <v>26</v>
      </c>
      <c r="L25" s="119" t="s">
        <v>27</v>
      </c>
      <c r="M25" s="29" t="s">
        <v>720</v>
      </c>
      <c r="N25" s="29" t="s">
        <v>739</v>
      </c>
      <c r="O25" s="146"/>
      <c r="P25" s="19" t="s">
        <v>37</v>
      </c>
    </row>
    <row r="26" spans="1:16" s="2" customFormat="1">
      <c r="A26" s="146"/>
      <c r="B26" s="35"/>
      <c r="C26" s="35" t="s">
        <v>73</v>
      </c>
      <c r="D26" s="119" t="s">
        <v>39</v>
      </c>
      <c r="E26" s="35" t="s">
        <v>44</v>
      </c>
      <c r="F26" s="36" t="s">
        <v>23</v>
      </c>
      <c r="G26" s="57">
        <v>41309</v>
      </c>
      <c r="H26" s="58">
        <f t="shared" ref="H26" ca="1" si="1">INT((TODAY()-G26)/365)</f>
        <v>13</v>
      </c>
      <c r="I26" s="35" t="s">
        <v>45</v>
      </c>
      <c r="J26" s="35" t="s">
        <v>25</v>
      </c>
      <c r="K26" s="35" t="s">
        <v>26</v>
      </c>
      <c r="L26" s="119" t="s">
        <v>27</v>
      </c>
      <c r="M26" s="35" t="s">
        <v>764</v>
      </c>
      <c r="N26" s="35" t="s">
        <v>741</v>
      </c>
      <c r="O26" s="146"/>
      <c r="P26" s="19" t="s">
        <v>37</v>
      </c>
    </row>
    <row r="27" spans="1:16" s="2" customFormat="1">
      <c r="A27" s="147"/>
      <c r="B27" s="35"/>
      <c r="C27" s="35" t="s">
        <v>712</v>
      </c>
      <c r="D27" s="37" t="s">
        <v>21</v>
      </c>
      <c r="E27" s="35" t="s">
        <v>44</v>
      </c>
      <c r="F27" s="36" t="s">
        <v>23</v>
      </c>
      <c r="G27" s="57">
        <v>44006</v>
      </c>
      <c r="H27" s="58">
        <f t="shared" ca="1" si="0"/>
        <v>6</v>
      </c>
      <c r="I27" s="35" t="s">
        <v>45</v>
      </c>
      <c r="J27" s="35" t="s">
        <v>25</v>
      </c>
      <c r="K27" s="35" t="s">
        <v>26</v>
      </c>
      <c r="L27" s="119" t="s">
        <v>27</v>
      </c>
      <c r="M27" s="35" t="s">
        <v>719</v>
      </c>
      <c r="N27" s="35" t="s">
        <v>731</v>
      </c>
      <c r="O27" s="147"/>
      <c r="P27" s="19" t="s">
        <v>37</v>
      </c>
    </row>
    <row r="28" spans="1:16" s="2" customFormat="1">
      <c r="A28" s="145" t="s">
        <v>74</v>
      </c>
      <c r="B28" s="38" t="s">
        <v>75</v>
      </c>
      <c r="C28" s="38" t="s">
        <v>75</v>
      </c>
      <c r="D28" s="24" t="s">
        <v>21</v>
      </c>
      <c r="E28" s="25" t="s">
        <v>22</v>
      </c>
      <c r="F28" s="50" t="s">
        <v>76</v>
      </c>
      <c r="G28" s="51">
        <v>27564</v>
      </c>
      <c r="H28" s="52">
        <f t="shared" ca="1" si="0"/>
        <v>51</v>
      </c>
      <c r="I28" s="25" t="s">
        <v>24</v>
      </c>
      <c r="J28" s="25" t="s">
        <v>25</v>
      </c>
      <c r="K28" s="25" t="s">
        <v>26</v>
      </c>
      <c r="L28" s="24" t="s">
        <v>77</v>
      </c>
      <c r="M28" s="25" t="s">
        <v>720</v>
      </c>
      <c r="N28" s="25" t="s">
        <v>738</v>
      </c>
      <c r="O28" s="145" t="s">
        <v>36</v>
      </c>
      <c r="P28" s="19" t="s">
        <v>37</v>
      </c>
    </row>
    <row r="29" spans="1:16" s="2" customFormat="1">
      <c r="A29" s="146"/>
      <c r="B29" s="29"/>
      <c r="C29" s="29" t="s">
        <v>78</v>
      </c>
      <c r="D29" s="31" t="s">
        <v>39</v>
      </c>
      <c r="E29" s="29" t="s">
        <v>40</v>
      </c>
      <c r="F29" s="53" t="s">
        <v>79</v>
      </c>
      <c r="G29" s="54">
        <v>28702</v>
      </c>
      <c r="H29" s="55">
        <f t="shared" ca="1" si="0"/>
        <v>48</v>
      </c>
      <c r="I29" s="29" t="s">
        <v>24</v>
      </c>
      <c r="J29" s="29" t="s">
        <v>25</v>
      </c>
      <c r="K29" s="29" t="s">
        <v>26</v>
      </c>
      <c r="L29" s="31" t="s">
        <v>27</v>
      </c>
      <c r="M29" s="29" t="s">
        <v>720</v>
      </c>
      <c r="N29" s="29" t="s">
        <v>739</v>
      </c>
      <c r="O29" s="146"/>
      <c r="P29" s="19" t="s">
        <v>37</v>
      </c>
    </row>
    <row r="30" spans="1:16" s="2" customFormat="1">
      <c r="A30" s="146"/>
      <c r="B30" s="29"/>
      <c r="C30" s="29" t="s">
        <v>80</v>
      </c>
      <c r="D30" s="31" t="s">
        <v>39</v>
      </c>
      <c r="E30" s="29" t="s">
        <v>44</v>
      </c>
      <c r="F30" s="53" t="s">
        <v>79</v>
      </c>
      <c r="G30" s="54">
        <v>39257</v>
      </c>
      <c r="H30" s="55">
        <f t="shared" ca="1" si="0"/>
        <v>19</v>
      </c>
      <c r="I30" s="29" t="s">
        <v>45</v>
      </c>
      <c r="J30" s="29" t="s">
        <v>25</v>
      </c>
      <c r="K30" s="29" t="s">
        <v>26</v>
      </c>
      <c r="L30" s="31" t="s">
        <v>27</v>
      </c>
      <c r="M30" s="29" t="s">
        <v>763</v>
      </c>
      <c r="N30" s="29" t="s">
        <v>741</v>
      </c>
      <c r="O30" s="146"/>
      <c r="P30" s="19" t="s">
        <v>37</v>
      </c>
    </row>
    <row r="31" spans="1:16" s="2" customFormat="1">
      <c r="A31" s="146"/>
      <c r="B31" s="29"/>
      <c r="C31" s="29" t="s">
        <v>81</v>
      </c>
      <c r="D31" s="31" t="s">
        <v>39</v>
      </c>
      <c r="E31" s="29" t="s">
        <v>44</v>
      </c>
      <c r="F31" s="53" t="s">
        <v>23</v>
      </c>
      <c r="G31" s="54">
        <v>40468</v>
      </c>
      <c r="H31" s="55">
        <f t="shared" ca="1" si="0"/>
        <v>15</v>
      </c>
      <c r="I31" s="29" t="s">
        <v>45</v>
      </c>
      <c r="J31" s="29" t="s">
        <v>25</v>
      </c>
      <c r="K31" s="29" t="s">
        <v>26</v>
      </c>
      <c r="L31" s="31" t="s">
        <v>27</v>
      </c>
      <c r="M31" s="35" t="s">
        <v>98</v>
      </c>
      <c r="N31" s="29" t="s">
        <v>741</v>
      </c>
      <c r="O31" s="146"/>
      <c r="P31" s="19" t="s">
        <v>37</v>
      </c>
    </row>
    <row r="32" spans="1:16" s="2" customFormat="1">
      <c r="A32" s="147"/>
      <c r="B32" s="35"/>
      <c r="C32" s="35" t="s">
        <v>82</v>
      </c>
      <c r="D32" s="37" t="s">
        <v>39</v>
      </c>
      <c r="E32" s="35" t="s">
        <v>44</v>
      </c>
      <c r="F32" s="56" t="s">
        <v>23</v>
      </c>
      <c r="G32" s="57">
        <v>41869</v>
      </c>
      <c r="H32" s="58">
        <f t="shared" ca="1" si="0"/>
        <v>12</v>
      </c>
      <c r="I32" s="35" t="s">
        <v>45</v>
      </c>
      <c r="J32" s="35" t="s">
        <v>25</v>
      </c>
      <c r="K32" s="35" t="s">
        <v>26</v>
      </c>
      <c r="L32" s="37" t="s">
        <v>27</v>
      </c>
      <c r="M32" s="35" t="s">
        <v>764</v>
      </c>
      <c r="N32" s="35" t="s">
        <v>741</v>
      </c>
      <c r="O32" s="147"/>
      <c r="P32" s="19" t="s">
        <v>37</v>
      </c>
    </row>
    <row r="33" spans="1:16" s="2" customFormat="1">
      <c r="A33" s="145" t="s">
        <v>84</v>
      </c>
      <c r="B33" s="38" t="s">
        <v>85</v>
      </c>
      <c r="C33" s="38" t="s">
        <v>85</v>
      </c>
      <c r="D33" s="24" t="s">
        <v>21</v>
      </c>
      <c r="E33" s="25" t="s">
        <v>22</v>
      </c>
      <c r="F33" s="50" t="s">
        <v>86</v>
      </c>
      <c r="G33" s="51">
        <v>27478</v>
      </c>
      <c r="H33" s="52">
        <f t="shared" ca="1" si="0"/>
        <v>51</v>
      </c>
      <c r="I33" s="25" t="s">
        <v>24</v>
      </c>
      <c r="J33" s="25" t="s">
        <v>25</v>
      </c>
      <c r="K33" s="25" t="s">
        <v>26</v>
      </c>
      <c r="L33" s="24" t="s">
        <v>87</v>
      </c>
      <c r="M33" s="25" t="s">
        <v>720</v>
      </c>
      <c r="N33" s="25" t="s">
        <v>738</v>
      </c>
      <c r="O33" s="145" t="s">
        <v>36</v>
      </c>
      <c r="P33" s="19" t="s">
        <v>37</v>
      </c>
    </row>
    <row r="34" spans="1:16" s="2" customFormat="1">
      <c r="A34" s="146"/>
      <c r="B34" s="29"/>
      <c r="C34" s="29" t="s">
        <v>88</v>
      </c>
      <c r="D34" s="31" t="s">
        <v>39</v>
      </c>
      <c r="E34" s="29" t="s">
        <v>40</v>
      </c>
      <c r="F34" s="53" t="s">
        <v>86</v>
      </c>
      <c r="G34" s="54">
        <v>29325</v>
      </c>
      <c r="H34" s="55">
        <f t="shared" ca="1" si="0"/>
        <v>46</v>
      </c>
      <c r="I34" s="29" t="s">
        <v>24</v>
      </c>
      <c r="J34" s="29" t="s">
        <v>25</v>
      </c>
      <c r="K34" s="29" t="s">
        <v>26</v>
      </c>
      <c r="L34" s="31" t="s">
        <v>89</v>
      </c>
      <c r="M34" s="29" t="s">
        <v>721</v>
      </c>
      <c r="N34" s="29" t="s">
        <v>739</v>
      </c>
      <c r="O34" s="146"/>
      <c r="P34" s="19" t="s">
        <v>37</v>
      </c>
    </row>
    <row r="35" spans="1:16" s="2" customFormat="1">
      <c r="A35" s="146"/>
      <c r="B35" s="29"/>
      <c r="C35" s="29" t="s">
        <v>90</v>
      </c>
      <c r="D35" s="31" t="s">
        <v>39</v>
      </c>
      <c r="E35" s="29" t="s">
        <v>44</v>
      </c>
      <c r="F35" s="53" t="s">
        <v>79</v>
      </c>
      <c r="G35" s="54">
        <v>37689</v>
      </c>
      <c r="H35" s="55">
        <f t="shared" ca="1" si="0"/>
        <v>23</v>
      </c>
      <c r="I35" s="29" t="s">
        <v>45</v>
      </c>
      <c r="J35" s="29" t="s">
        <v>25</v>
      </c>
      <c r="K35" s="29" t="s">
        <v>26</v>
      </c>
      <c r="L35" s="31" t="s">
        <v>27</v>
      </c>
      <c r="M35" s="29" t="s">
        <v>155</v>
      </c>
      <c r="N35" s="25" t="s">
        <v>738</v>
      </c>
      <c r="O35" s="146"/>
      <c r="P35" s="19" t="s">
        <v>37</v>
      </c>
    </row>
    <row r="36" spans="1:16" s="2" customFormat="1">
      <c r="A36" s="146"/>
      <c r="B36" s="29"/>
      <c r="C36" s="29" t="s">
        <v>92</v>
      </c>
      <c r="D36" s="31" t="s">
        <v>39</v>
      </c>
      <c r="E36" s="29" t="s">
        <v>93</v>
      </c>
      <c r="F36" s="53" t="s">
        <v>23</v>
      </c>
      <c r="G36" s="54">
        <v>40034</v>
      </c>
      <c r="H36" s="55">
        <f t="shared" ca="1" si="0"/>
        <v>17</v>
      </c>
      <c r="I36" s="29" t="s">
        <v>45</v>
      </c>
      <c r="J36" s="29" t="s">
        <v>25</v>
      </c>
      <c r="K36" s="29" t="s">
        <v>26</v>
      </c>
      <c r="L36" s="31" t="s">
        <v>27</v>
      </c>
      <c r="M36" s="29" t="s">
        <v>762</v>
      </c>
      <c r="N36" s="29" t="s">
        <v>741</v>
      </c>
      <c r="O36" s="146"/>
      <c r="P36" s="19" t="s">
        <v>37</v>
      </c>
    </row>
    <row r="37" spans="1:16" s="2" customFormat="1">
      <c r="A37" s="147"/>
      <c r="B37" s="35"/>
      <c r="C37" s="35" t="s">
        <v>94</v>
      </c>
      <c r="D37" s="37" t="s">
        <v>39</v>
      </c>
      <c r="E37" s="35" t="s">
        <v>44</v>
      </c>
      <c r="F37" s="56" t="s">
        <v>23</v>
      </c>
      <c r="G37" s="57">
        <v>43056</v>
      </c>
      <c r="H37" s="58">
        <f t="shared" ca="1" si="0"/>
        <v>8</v>
      </c>
      <c r="I37" s="35" t="s">
        <v>45</v>
      </c>
      <c r="J37" s="35" t="s">
        <v>25</v>
      </c>
      <c r="K37" s="35" t="s">
        <v>26</v>
      </c>
      <c r="L37" s="37" t="s">
        <v>27</v>
      </c>
      <c r="M37" s="35" t="s">
        <v>761</v>
      </c>
      <c r="N37" s="35" t="s">
        <v>731</v>
      </c>
      <c r="O37" s="147"/>
      <c r="P37" s="19" t="s">
        <v>37</v>
      </c>
    </row>
    <row r="38" spans="1:16" s="2" customFormat="1">
      <c r="A38" s="145" t="s">
        <v>95</v>
      </c>
      <c r="B38" s="38" t="s">
        <v>704</v>
      </c>
      <c r="C38" s="38" t="s">
        <v>704</v>
      </c>
      <c r="D38" s="24" t="s">
        <v>21</v>
      </c>
      <c r="E38" s="25" t="s">
        <v>22</v>
      </c>
      <c r="F38" s="50" t="s">
        <v>101</v>
      </c>
      <c r="G38" s="51">
        <v>34807</v>
      </c>
      <c r="H38" s="52">
        <f t="shared" ca="1" si="0"/>
        <v>31</v>
      </c>
      <c r="I38" s="25" t="s">
        <v>24</v>
      </c>
      <c r="J38" s="25" t="s">
        <v>25</v>
      </c>
      <c r="K38" s="25" t="s">
        <v>26</v>
      </c>
      <c r="L38" s="24" t="s">
        <v>27</v>
      </c>
      <c r="M38" s="25" t="s">
        <v>98</v>
      </c>
      <c r="N38" s="25" t="s">
        <v>740</v>
      </c>
      <c r="O38" s="145" t="s">
        <v>30</v>
      </c>
      <c r="P38" s="46" t="s">
        <v>31</v>
      </c>
    </row>
    <row r="39" spans="1:16" s="2" customFormat="1">
      <c r="A39" s="146"/>
      <c r="B39" s="29"/>
      <c r="C39" s="29" t="s">
        <v>705</v>
      </c>
      <c r="D39" s="31" t="s">
        <v>39</v>
      </c>
      <c r="E39" s="29" t="s">
        <v>40</v>
      </c>
      <c r="F39" s="53" t="s">
        <v>101</v>
      </c>
      <c r="G39" s="54">
        <v>36634</v>
      </c>
      <c r="H39" s="55">
        <f t="shared" ca="1" si="0"/>
        <v>26</v>
      </c>
      <c r="I39" s="29" t="s">
        <v>24</v>
      </c>
      <c r="J39" s="29" t="s">
        <v>25</v>
      </c>
      <c r="K39" s="29" t="s">
        <v>26</v>
      </c>
      <c r="L39" s="31" t="s">
        <v>27</v>
      </c>
      <c r="M39" s="25" t="s">
        <v>720</v>
      </c>
      <c r="N39" s="29" t="s">
        <v>739</v>
      </c>
      <c r="O39" s="146"/>
      <c r="P39" s="46" t="s">
        <v>31</v>
      </c>
    </row>
    <row r="40" spans="1:16" s="2" customFormat="1">
      <c r="A40" s="146"/>
      <c r="B40" s="29"/>
      <c r="C40" s="29" t="s">
        <v>706</v>
      </c>
      <c r="D40" s="31" t="s">
        <v>21</v>
      </c>
      <c r="E40" s="29" t="s">
        <v>44</v>
      </c>
      <c r="F40" s="53" t="s">
        <v>101</v>
      </c>
      <c r="G40" s="54">
        <v>44848</v>
      </c>
      <c r="H40" s="55">
        <f t="shared" ca="1" si="0"/>
        <v>3</v>
      </c>
      <c r="I40" s="29" t="s">
        <v>45</v>
      </c>
      <c r="J40" s="29" t="s">
        <v>25</v>
      </c>
      <c r="K40" s="29" t="s">
        <v>26</v>
      </c>
      <c r="L40" s="31" t="s">
        <v>27</v>
      </c>
      <c r="M40" s="29" t="s">
        <v>762</v>
      </c>
      <c r="N40" s="29" t="s">
        <v>731</v>
      </c>
      <c r="O40" s="146"/>
      <c r="P40" s="46" t="s">
        <v>31</v>
      </c>
    </row>
    <row r="41" spans="1:16" s="2" customFormat="1">
      <c r="A41" s="145" t="s">
        <v>103</v>
      </c>
      <c r="B41" s="38" t="s">
        <v>104</v>
      </c>
      <c r="C41" s="38" t="s">
        <v>104</v>
      </c>
      <c r="D41" s="24" t="s">
        <v>21</v>
      </c>
      <c r="E41" s="25" t="s">
        <v>22</v>
      </c>
      <c r="F41" s="50" t="s">
        <v>23</v>
      </c>
      <c r="G41" s="51">
        <v>30386</v>
      </c>
      <c r="H41" s="52">
        <f t="shared" ca="1" si="0"/>
        <v>43</v>
      </c>
      <c r="I41" s="25" t="s">
        <v>24</v>
      </c>
      <c r="J41" s="25" t="s">
        <v>25</v>
      </c>
      <c r="K41" s="25" t="s">
        <v>26</v>
      </c>
      <c r="L41" s="24" t="s">
        <v>27</v>
      </c>
      <c r="M41" s="29" t="s">
        <v>155</v>
      </c>
      <c r="N41" s="25" t="s">
        <v>738</v>
      </c>
      <c r="O41" s="145" t="s">
        <v>36</v>
      </c>
      <c r="P41" s="19" t="s">
        <v>37</v>
      </c>
    </row>
    <row r="42" spans="1:16" s="2" customFormat="1">
      <c r="A42" s="146"/>
      <c r="B42" s="29"/>
      <c r="C42" s="29" t="s">
        <v>106</v>
      </c>
      <c r="D42" s="31" t="s">
        <v>39</v>
      </c>
      <c r="E42" s="29" t="s">
        <v>40</v>
      </c>
      <c r="F42" s="53" t="s">
        <v>23</v>
      </c>
      <c r="G42" s="54">
        <v>29238</v>
      </c>
      <c r="H42" s="55">
        <f t="shared" ca="1" si="0"/>
        <v>46</v>
      </c>
      <c r="I42" s="29" t="s">
        <v>24</v>
      </c>
      <c r="J42" s="29" t="s">
        <v>25</v>
      </c>
      <c r="K42" s="29" t="s">
        <v>26</v>
      </c>
      <c r="L42" s="31" t="s">
        <v>27</v>
      </c>
      <c r="M42" s="29" t="s">
        <v>155</v>
      </c>
      <c r="N42" s="29" t="s">
        <v>738</v>
      </c>
      <c r="O42" s="146"/>
      <c r="P42" s="19" t="s">
        <v>37</v>
      </c>
    </row>
    <row r="43" spans="1:16" s="2" customFormat="1">
      <c r="A43" s="146"/>
      <c r="B43" s="29"/>
      <c r="C43" s="29" t="s">
        <v>107</v>
      </c>
      <c r="D43" s="31" t="s">
        <v>21</v>
      </c>
      <c r="E43" s="29" t="s">
        <v>44</v>
      </c>
      <c r="F43" s="53" t="s">
        <v>23</v>
      </c>
      <c r="G43" s="54">
        <v>40379</v>
      </c>
      <c r="H43" s="55">
        <f t="shared" ca="1" si="0"/>
        <v>16</v>
      </c>
      <c r="I43" s="29" t="s">
        <v>45</v>
      </c>
      <c r="J43" s="29" t="s">
        <v>25</v>
      </c>
      <c r="K43" s="29" t="s">
        <v>26</v>
      </c>
      <c r="L43" s="31" t="s">
        <v>27</v>
      </c>
      <c r="M43" s="29" t="s">
        <v>721</v>
      </c>
      <c r="N43" s="29" t="s">
        <v>741</v>
      </c>
      <c r="O43" s="146"/>
      <c r="P43" s="19" t="s">
        <v>37</v>
      </c>
    </row>
    <row r="44" spans="1:16" s="2" customFormat="1">
      <c r="A44" s="147"/>
      <c r="B44" s="35"/>
      <c r="C44" s="35" t="s">
        <v>108</v>
      </c>
      <c r="D44" s="37" t="s">
        <v>21</v>
      </c>
      <c r="E44" s="35" t="s">
        <v>44</v>
      </c>
      <c r="F44" s="56" t="s">
        <v>23</v>
      </c>
      <c r="G44" s="57">
        <v>42194</v>
      </c>
      <c r="H44" s="58">
        <f t="shared" ca="1" si="0"/>
        <v>11</v>
      </c>
      <c r="I44" s="35" t="s">
        <v>45</v>
      </c>
      <c r="J44" s="35" t="s">
        <v>25</v>
      </c>
      <c r="K44" s="35" t="s">
        <v>26</v>
      </c>
      <c r="L44" s="37" t="s">
        <v>27</v>
      </c>
      <c r="M44" s="35" t="s">
        <v>719</v>
      </c>
      <c r="N44" s="35" t="s">
        <v>731</v>
      </c>
      <c r="O44" s="147"/>
      <c r="P44" s="19" t="s">
        <v>37</v>
      </c>
    </row>
    <row r="45" spans="1:16" s="2" customFormat="1">
      <c r="A45" s="145" t="s">
        <v>109</v>
      </c>
      <c r="B45" s="38" t="s">
        <v>110</v>
      </c>
      <c r="C45" s="38" t="s">
        <v>110</v>
      </c>
      <c r="D45" s="24" t="s">
        <v>21</v>
      </c>
      <c r="E45" s="25" t="s">
        <v>22</v>
      </c>
      <c r="F45" s="50" t="s">
        <v>111</v>
      </c>
      <c r="G45" s="51">
        <v>29715</v>
      </c>
      <c r="H45" s="52">
        <f t="shared" ca="1" si="0"/>
        <v>45</v>
      </c>
      <c r="I45" s="25" t="s">
        <v>24</v>
      </c>
      <c r="J45" s="25" t="s">
        <v>25</v>
      </c>
      <c r="K45" s="25" t="s">
        <v>26</v>
      </c>
      <c r="L45" s="24" t="s">
        <v>112</v>
      </c>
      <c r="M45" s="25" t="s">
        <v>720</v>
      </c>
      <c r="N45" s="25" t="s">
        <v>737</v>
      </c>
      <c r="O45" s="145" t="s">
        <v>36</v>
      </c>
      <c r="P45" s="19" t="s">
        <v>37</v>
      </c>
    </row>
    <row r="46" spans="1:16" s="2" customFormat="1">
      <c r="A46" s="146"/>
      <c r="B46" s="29"/>
      <c r="C46" s="29" t="s">
        <v>113</v>
      </c>
      <c r="D46" s="31" t="s">
        <v>39</v>
      </c>
      <c r="E46" s="29" t="s">
        <v>40</v>
      </c>
      <c r="F46" s="53" t="s">
        <v>101</v>
      </c>
      <c r="G46" s="54">
        <v>30074</v>
      </c>
      <c r="H46" s="55">
        <f t="shared" ca="1" si="0"/>
        <v>44</v>
      </c>
      <c r="I46" s="29" t="s">
        <v>24</v>
      </c>
      <c r="J46" s="29" t="s">
        <v>25</v>
      </c>
      <c r="K46" s="29" t="s">
        <v>26</v>
      </c>
      <c r="L46" s="31" t="s">
        <v>27</v>
      </c>
      <c r="M46" s="29" t="s">
        <v>720</v>
      </c>
      <c r="N46" s="29" t="s">
        <v>738</v>
      </c>
      <c r="O46" s="146"/>
      <c r="P46" s="19" t="s">
        <v>37</v>
      </c>
    </row>
    <row r="47" spans="1:16" s="2" customFormat="1">
      <c r="A47" s="146"/>
      <c r="B47" s="29"/>
      <c r="C47" s="29" t="s">
        <v>114</v>
      </c>
      <c r="D47" s="31" t="s">
        <v>21</v>
      </c>
      <c r="E47" s="29" t="s">
        <v>44</v>
      </c>
      <c r="F47" s="53" t="s">
        <v>101</v>
      </c>
      <c r="G47" s="54">
        <v>38540</v>
      </c>
      <c r="H47" s="55">
        <f t="shared" ca="1" si="0"/>
        <v>21</v>
      </c>
      <c r="I47" s="29" t="s">
        <v>45</v>
      </c>
      <c r="J47" s="29" t="s">
        <v>25</v>
      </c>
      <c r="K47" s="29" t="s">
        <v>26</v>
      </c>
      <c r="L47" s="31" t="s">
        <v>27</v>
      </c>
      <c r="M47" s="29" t="s">
        <v>762</v>
      </c>
      <c r="N47" s="29" t="s">
        <v>741</v>
      </c>
      <c r="O47" s="146"/>
      <c r="P47" s="19" t="s">
        <v>37</v>
      </c>
    </row>
    <row r="48" spans="1:16" s="2" customFormat="1">
      <c r="A48" s="147"/>
      <c r="B48" s="35"/>
      <c r="C48" s="35" t="s">
        <v>115</v>
      </c>
      <c r="D48" s="37" t="s">
        <v>21</v>
      </c>
      <c r="E48" s="35" t="s">
        <v>44</v>
      </c>
      <c r="F48" s="56" t="s">
        <v>23</v>
      </c>
      <c r="G48" s="57">
        <v>40448</v>
      </c>
      <c r="H48" s="58">
        <f t="shared" ca="1" si="0"/>
        <v>16</v>
      </c>
      <c r="I48" s="35" t="s">
        <v>45</v>
      </c>
      <c r="J48" s="35" t="s">
        <v>25</v>
      </c>
      <c r="K48" s="35" t="s">
        <v>26</v>
      </c>
      <c r="L48" s="37" t="s">
        <v>27</v>
      </c>
      <c r="M48" s="29" t="s">
        <v>762</v>
      </c>
      <c r="N48" s="35" t="s">
        <v>741</v>
      </c>
      <c r="O48" s="147"/>
      <c r="P48" s="19" t="s">
        <v>37</v>
      </c>
    </row>
    <row r="49" spans="1:16" s="2" customFormat="1">
      <c r="A49" s="145" t="s">
        <v>116</v>
      </c>
      <c r="B49" s="38" t="s">
        <v>117</v>
      </c>
      <c r="C49" s="38" t="s">
        <v>117</v>
      </c>
      <c r="D49" s="24" t="s">
        <v>21</v>
      </c>
      <c r="E49" s="25" t="s">
        <v>22</v>
      </c>
      <c r="F49" s="50" t="s">
        <v>23</v>
      </c>
      <c r="G49" s="51">
        <v>34244</v>
      </c>
      <c r="H49" s="52">
        <f t="shared" ca="1" si="0"/>
        <v>33</v>
      </c>
      <c r="I49" s="25" t="s">
        <v>24</v>
      </c>
      <c r="J49" s="25" t="s">
        <v>25</v>
      </c>
      <c r="K49" s="25" t="s">
        <v>26</v>
      </c>
      <c r="L49" s="24" t="s">
        <v>27</v>
      </c>
      <c r="M49" s="25" t="s">
        <v>720</v>
      </c>
      <c r="N49" s="25" t="s">
        <v>737</v>
      </c>
      <c r="O49" s="145" t="s">
        <v>30</v>
      </c>
      <c r="P49" s="46" t="s">
        <v>31</v>
      </c>
    </row>
    <row r="50" spans="1:16" s="2" customFormat="1">
      <c r="A50" s="146"/>
      <c r="B50" s="29"/>
      <c r="C50" s="29" t="s">
        <v>118</v>
      </c>
      <c r="D50" s="31" t="s">
        <v>39</v>
      </c>
      <c r="E50" s="29" t="s">
        <v>40</v>
      </c>
      <c r="F50" s="53" t="s">
        <v>119</v>
      </c>
      <c r="G50" s="54">
        <v>34523</v>
      </c>
      <c r="H50" s="55">
        <f t="shared" ca="1" si="0"/>
        <v>32</v>
      </c>
      <c r="I50" s="29" t="s">
        <v>24</v>
      </c>
      <c r="J50" s="29" t="s">
        <v>25</v>
      </c>
      <c r="K50" s="29" t="s">
        <v>26</v>
      </c>
      <c r="L50" s="31" t="s">
        <v>27</v>
      </c>
      <c r="M50" s="29" t="s">
        <v>720</v>
      </c>
      <c r="N50" s="29" t="s">
        <v>739</v>
      </c>
      <c r="O50" s="146"/>
      <c r="P50" s="46" t="s">
        <v>31</v>
      </c>
    </row>
    <row r="51" spans="1:16" s="2" customFormat="1">
      <c r="A51" s="146"/>
      <c r="B51" s="29"/>
      <c r="C51" s="29" t="s">
        <v>120</v>
      </c>
      <c r="D51" s="31" t="s">
        <v>21</v>
      </c>
      <c r="E51" s="29" t="s">
        <v>44</v>
      </c>
      <c r="F51" s="53" t="s">
        <v>23</v>
      </c>
      <c r="G51" s="54">
        <v>43241</v>
      </c>
      <c r="H51" s="55">
        <f t="shared" ca="1" si="0"/>
        <v>8</v>
      </c>
      <c r="I51" s="29" t="s">
        <v>45</v>
      </c>
      <c r="J51" s="29" t="s">
        <v>25</v>
      </c>
      <c r="K51" s="29" t="s">
        <v>26</v>
      </c>
      <c r="L51" s="31" t="s">
        <v>27</v>
      </c>
      <c r="M51" s="29" t="s">
        <v>719</v>
      </c>
      <c r="N51" s="29" t="s">
        <v>731</v>
      </c>
      <c r="O51" s="146"/>
      <c r="P51" s="46" t="s">
        <v>31</v>
      </c>
    </row>
    <row r="52" spans="1:16" s="2" customFormat="1">
      <c r="A52" s="146"/>
      <c r="B52" s="29"/>
      <c r="C52" s="29" t="s">
        <v>121</v>
      </c>
      <c r="D52" s="31" t="s">
        <v>21</v>
      </c>
      <c r="E52" s="29" t="s">
        <v>44</v>
      </c>
      <c r="F52" s="53" t="s">
        <v>23</v>
      </c>
      <c r="G52" s="54">
        <v>43242</v>
      </c>
      <c r="H52" s="55">
        <f t="shared" ca="1" si="0"/>
        <v>8</v>
      </c>
      <c r="I52" s="29" t="s">
        <v>45</v>
      </c>
      <c r="J52" s="29" t="s">
        <v>25</v>
      </c>
      <c r="K52" s="29" t="s">
        <v>26</v>
      </c>
      <c r="L52" s="31" t="s">
        <v>27</v>
      </c>
      <c r="M52" s="29" t="s">
        <v>719</v>
      </c>
      <c r="N52" s="29" t="s">
        <v>731</v>
      </c>
      <c r="O52" s="146"/>
      <c r="P52" s="46" t="s">
        <v>31</v>
      </c>
    </row>
    <row r="53" spans="1:16" s="2" customFormat="1">
      <c r="A53" s="147"/>
      <c r="B53" s="35"/>
      <c r="C53" s="35" t="s">
        <v>122</v>
      </c>
      <c r="D53" s="37" t="s">
        <v>21</v>
      </c>
      <c r="E53" s="35" t="s">
        <v>44</v>
      </c>
      <c r="F53" s="56" t="s">
        <v>23</v>
      </c>
      <c r="G53" s="57">
        <v>44339</v>
      </c>
      <c r="H53" s="58">
        <f t="shared" ca="1" si="0"/>
        <v>5</v>
      </c>
      <c r="I53" s="35" t="s">
        <v>45</v>
      </c>
      <c r="J53" s="35" t="s">
        <v>25</v>
      </c>
      <c r="K53" s="35" t="s">
        <v>26</v>
      </c>
      <c r="L53" s="37" t="s">
        <v>27</v>
      </c>
      <c r="M53" s="35" t="s">
        <v>719</v>
      </c>
      <c r="N53" s="35" t="s">
        <v>731</v>
      </c>
      <c r="O53" s="147"/>
      <c r="P53" s="46" t="s">
        <v>31</v>
      </c>
    </row>
    <row r="54" spans="1:16" s="2" customFormat="1">
      <c r="A54" s="145" t="s">
        <v>123</v>
      </c>
      <c r="B54" s="38" t="s">
        <v>124</v>
      </c>
      <c r="C54" s="38" t="s">
        <v>124</v>
      </c>
      <c r="D54" s="24" t="s">
        <v>21</v>
      </c>
      <c r="E54" s="25" t="s">
        <v>22</v>
      </c>
      <c r="F54" s="50" t="s">
        <v>125</v>
      </c>
      <c r="G54" s="51">
        <v>26498</v>
      </c>
      <c r="H54" s="52">
        <f t="shared" ca="1" si="0"/>
        <v>54</v>
      </c>
      <c r="I54" s="25" t="s">
        <v>24</v>
      </c>
      <c r="J54" s="25" t="s">
        <v>25</v>
      </c>
      <c r="K54" s="25" t="s">
        <v>26</v>
      </c>
      <c r="L54" s="24" t="s">
        <v>27</v>
      </c>
      <c r="M54" s="25" t="s">
        <v>126</v>
      </c>
      <c r="N54" s="25" t="s">
        <v>738</v>
      </c>
      <c r="O54" s="145" t="s">
        <v>36</v>
      </c>
      <c r="P54" s="19" t="s">
        <v>37</v>
      </c>
    </row>
    <row r="55" spans="1:16" s="2" customFormat="1">
      <c r="A55" s="146"/>
      <c r="B55" s="29"/>
      <c r="C55" s="29" t="s">
        <v>127</v>
      </c>
      <c r="D55" s="31" t="s">
        <v>39</v>
      </c>
      <c r="E55" s="29" t="s">
        <v>40</v>
      </c>
      <c r="F55" s="53" t="s">
        <v>128</v>
      </c>
      <c r="G55" s="54">
        <v>32320</v>
      </c>
      <c r="H55" s="55">
        <f t="shared" ca="1" si="0"/>
        <v>38</v>
      </c>
      <c r="I55" s="29" t="s">
        <v>24</v>
      </c>
      <c r="J55" s="29" t="s">
        <v>25</v>
      </c>
      <c r="K55" s="29" t="s">
        <v>26</v>
      </c>
      <c r="L55" s="31" t="s">
        <v>27</v>
      </c>
      <c r="M55" s="29" t="s">
        <v>721</v>
      </c>
      <c r="N55" s="29" t="s">
        <v>739</v>
      </c>
      <c r="O55" s="146"/>
      <c r="P55" s="19" t="s">
        <v>37</v>
      </c>
    </row>
    <row r="56" spans="1:16" s="2" customFormat="1">
      <c r="A56" s="146"/>
      <c r="B56" s="29"/>
      <c r="C56" s="29" t="s">
        <v>129</v>
      </c>
      <c r="D56" s="31" t="s">
        <v>39</v>
      </c>
      <c r="E56" s="29" t="s">
        <v>44</v>
      </c>
      <c r="F56" s="53" t="s">
        <v>128</v>
      </c>
      <c r="G56" s="54">
        <v>38220</v>
      </c>
      <c r="H56" s="55">
        <f t="shared" ca="1" si="0"/>
        <v>22</v>
      </c>
      <c r="I56" s="29" t="s">
        <v>45</v>
      </c>
      <c r="J56" s="29" t="s">
        <v>25</v>
      </c>
      <c r="K56" s="29" t="s">
        <v>26</v>
      </c>
      <c r="L56" s="31" t="s">
        <v>27</v>
      </c>
      <c r="M56" s="25" t="s">
        <v>204</v>
      </c>
      <c r="N56" s="29" t="s">
        <v>741</v>
      </c>
      <c r="O56" s="146"/>
      <c r="P56" s="19" t="s">
        <v>37</v>
      </c>
    </row>
    <row r="57" spans="1:16" s="2" customFormat="1">
      <c r="A57" s="147"/>
      <c r="B57" s="35"/>
      <c r="C57" s="35" t="s">
        <v>130</v>
      </c>
      <c r="D57" s="37" t="s">
        <v>21</v>
      </c>
      <c r="E57" s="35" t="s">
        <v>44</v>
      </c>
      <c r="F57" s="56" t="s">
        <v>128</v>
      </c>
      <c r="G57" s="57">
        <v>40666</v>
      </c>
      <c r="H57" s="58">
        <f t="shared" ca="1" si="0"/>
        <v>15</v>
      </c>
      <c r="I57" s="35" t="s">
        <v>45</v>
      </c>
      <c r="J57" s="35" t="s">
        <v>25</v>
      </c>
      <c r="K57" s="35" t="s">
        <v>26</v>
      </c>
      <c r="L57" s="37" t="s">
        <v>27</v>
      </c>
      <c r="M57" s="29" t="s">
        <v>762</v>
      </c>
      <c r="N57" s="35" t="s">
        <v>741</v>
      </c>
      <c r="O57" s="147"/>
      <c r="P57" s="19" t="s">
        <v>37</v>
      </c>
    </row>
    <row r="58" spans="1:16" s="2" customFormat="1">
      <c r="A58" s="158" t="s">
        <v>131</v>
      </c>
      <c r="B58" s="38" t="s">
        <v>132</v>
      </c>
      <c r="C58" s="38" t="s">
        <v>132</v>
      </c>
      <c r="D58" s="24" t="s">
        <v>21</v>
      </c>
      <c r="E58" s="25" t="s">
        <v>22</v>
      </c>
      <c r="F58" s="50" t="s">
        <v>133</v>
      </c>
      <c r="G58" s="51">
        <v>26759</v>
      </c>
      <c r="H58" s="52">
        <f t="shared" ca="1" si="0"/>
        <v>53</v>
      </c>
      <c r="I58" s="25" t="s">
        <v>24</v>
      </c>
      <c r="J58" s="25" t="s">
        <v>25</v>
      </c>
      <c r="K58" s="25" t="s">
        <v>26</v>
      </c>
      <c r="L58" s="24" t="s">
        <v>112</v>
      </c>
      <c r="M58" s="25" t="s">
        <v>720</v>
      </c>
      <c r="N58" s="25" t="s">
        <v>738</v>
      </c>
      <c r="O58" s="145" t="s">
        <v>36</v>
      </c>
      <c r="P58" s="19" t="s">
        <v>37</v>
      </c>
    </row>
    <row r="59" spans="1:16" s="2" customFormat="1">
      <c r="A59" s="159"/>
      <c r="B59" s="29"/>
      <c r="C59" s="29" t="s">
        <v>134</v>
      </c>
      <c r="D59" s="31" t="s">
        <v>39</v>
      </c>
      <c r="E59" s="29" t="s">
        <v>40</v>
      </c>
      <c r="F59" s="53" t="s">
        <v>133</v>
      </c>
      <c r="G59" s="54">
        <v>28667</v>
      </c>
      <c r="H59" s="55">
        <f t="shared" ca="1" si="0"/>
        <v>48</v>
      </c>
      <c r="I59" s="29" t="s">
        <v>24</v>
      </c>
      <c r="J59" s="29" t="s">
        <v>25</v>
      </c>
      <c r="K59" s="29" t="s">
        <v>26</v>
      </c>
      <c r="L59" s="31" t="s">
        <v>112</v>
      </c>
      <c r="M59" s="29" t="s">
        <v>720</v>
      </c>
      <c r="N59" s="29" t="s">
        <v>739</v>
      </c>
      <c r="O59" s="146"/>
      <c r="P59" s="19" t="s">
        <v>37</v>
      </c>
    </row>
    <row r="60" spans="1:16" s="2" customFormat="1">
      <c r="A60" s="159"/>
      <c r="B60" s="29"/>
      <c r="C60" s="29" t="s">
        <v>135</v>
      </c>
      <c r="D60" s="31" t="s">
        <v>21</v>
      </c>
      <c r="E60" s="29" t="s">
        <v>44</v>
      </c>
      <c r="F60" s="53" t="s">
        <v>133</v>
      </c>
      <c r="G60" s="54">
        <v>38325</v>
      </c>
      <c r="H60" s="55">
        <f t="shared" ca="1" si="0"/>
        <v>21</v>
      </c>
      <c r="I60" s="29" t="s">
        <v>45</v>
      </c>
      <c r="J60" s="29" t="s">
        <v>25</v>
      </c>
      <c r="K60" s="29" t="s">
        <v>26</v>
      </c>
      <c r="L60" s="31" t="s">
        <v>112</v>
      </c>
      <c r="M60" s="25" t="s">
        <v>204</v>
      </c>
      <c r="N60" s="91" t="s">
        <v>731</v>
      </c>
      <c r="O60" s="146"/>
      <c r="P60" s="19" t="s">
        <v>37</v>
      </c>
    </row>
    <row r="61" spans="1:16" s="2" customFormat="1">
      <c r="A61" s="159"/>
      <c r="B61" s="29"/>
      <c r="C61" s="29" t="s">
        <v>136</v>
      </c>
      <c r="D61" s="31" t="s">
        <v>21</v>
      </c>
      <c r="E61" s="29" t="s">
        <v>44</v>
      </c>
      <c r="F61" s="53" t="s">
        <v>23</v>
      </c>
      <c r="G61" s="54">
        <v>39765</v>
      </c>
      <c r="H61" s="55">
        <f t="shared" ca="1" si="0"/>
        <v>17</v>
      </c>
      <c r="I61" s="29" t="s">
        <v>45</v>
      </c>
      <c r="J61" s="29" t="s">
        <v>25</v>
      </c>
      <c r="K61" s="29" t="s">
        <v>26</v>
      </c>
      <c r="L61" s="31" t="s">
        <v>27</v>
      </c>
      <c r="M61" s="91" t="s">
        <v>731</v>
      </c>
      <c r="N61" s="29" t="s">
        <v>741</v>
      </c>
      <c r="O61" s="146"/>
      <c r="P61" s="19" t="s">
        <v>37</v>
      </c>
    </row>
    <row r="62" spans="1:16" s="2" customFormat="1">
      <c r="A62" s="160"/>
      <c r="B62" s="35"/>
      <c r="C62" s="35" t="s">
        <v>137</v>
      </c>
      <c r="D62" s="37" t="s">
        <v>21</v>
      </c>
      <c r="E62" s="35" t="s">
        <v>44</v>
      </c>
      <c r="F62" s="56" t="s">
        <v>23</v>
      </c>
      <c r="G62" s="57">
        <v>41913</v>
      </c>
      <c r="H62" s="58">
        <f t="shared" ca="1" si="0"/>
        <v>12</v>
      </c>
      <c r="I62" s="35" t="s">
        <v>45</v>
      </c>
      <c r="J62" s="35" t="s">
        <v>25</v>
      </c>
      <c r="K62" s="35" t="s">
        <v>26</v>
      </c>
      <c r="L62" s="37" t="s">
        <v>112</v>
      </c>
      <c r="M62" s="35" t="s">
        <v>719</v>
      </c>
      <c r="N62" s="35" t="s">
        <v>731</v>
      </c>
      <c r="O62" s="147"/>
      <c r="P62" s="19" t="s">
        <v>37</v>
      </c>
    </row>
    <row r="63" spans="1:16" s="2" customFormat="1">
      <c r="A63" s="145" t="s">
        <v>138</v>
      </c>
      <c r="B63" s="38" t="s">
        <v>139</v>
      </c>
      <c r="C63" s="38" t="s">
        <v>139</v>
      </c>
      <c r="D63" s="24" t="s">
        <v>21</v>
      </c>
      <c r="E63" s="25" t="s">
        <v>22</v>
      </c>
      <c r="F63" s="50" t="s">
        <v>23</v>
      </c>
      <c r="G63" s="51">
        <v>29698</v>
      </c>
      <c r="H63" s="52">
        <f t="shared" ca="1" si="0"/>
        <v>45</v>
      </c>
      <c r="I63" s="25" t="s">
        <v>24</v>
      </c>
      <c r="J63" s="25" t="s">
        <v>25</v>
      </c>
      <c r="K63" s="25" t="s">
        <v>26</v>
      </c>
      <c r="L63" s="24" t="s">
        <v>27</v>
      </c>
      <c r="M63" s="25" t="s">
        <v>720</v>
      </c>
      <c r="N63" s="25" t="s">
        <v>737</v>
      </c>
      <c r="O63" s="145" t="s">
        <v>30</v>
      </c>
      <c r="P63" s="46" t="s">
        <v>31</v>
      </c>
    </row>
    <row r="64" spans="1:16" s="2" customFormat="1">
      <c r="A64" s="146"/>
      <c r="B64" s="29"/>
      <c r="C64" s="29" t="s">
        <v>140</v>
      </c>
      <c r="D64" s="31" t="s">
        <v>21</v>
      </c>
      <c r="E64" s="29" t="s">
        <v>22</v>
      </c>
      <c r="F64" s="53" t="s">
        <v>23</v>
      </c>
      <c r="G64" s="54">
        <v>28973</v>
      </c>
      <c r="H64" s="55">
        <f t="shared" ca="1" si="0"/>
        <v>47</v>
      </c>
      <c r="I64" s="29" t="s">
        <v>24</v>
      </c>
      <c r="J64" s="29" t="s">
        <v>25</v>
      </c>
      <c r="K64" s="29" t="s">
        <v>26</v>
      </c>
      <c r="L64" s="31" t="s">
        <v>27</v>
      </c>
      <c r="M64" s="29" t="s">
        <v>720</v>
      </c>
      <c r="N64" s="29" t="s">
        <v>738</v>
      </c>
      <c r="O64" s="146"/>
      <c r="P64" s="46" t="s">
        <v>31</v>
      </c>
    </row>
    <row r="65" spans="1:16" s="2" customFormat="1">
      <c r="A65" s="146"/>
      <c r="B65" s="29"/>
      <c r="C65" s="29" t="s">
        <v>141</v>
      </c>
      <c r="D65" s="31" t="s">
        <v>39</v>
      </c>
      <c r="E65" s="29" t="s">
        <v>44</v>
      </c>
      <c r="F65" s="53" t="s">
        <v>23</v>
      </c>
      <c r="G65" s="54">
        <v>37827</v>
      </c>
      <c r="H65" s="55">
        <f t="shared" ca="1" si="0"/>
        <v>23</v>
      </c>
      <c r="I65" s="29" t="s">
        <v>45</v>
      </c>
      <c r="J65" s="29" t="s">
        <v>25</v>
      </c>
      <c r="K65" s="29" t="s">
        <v>26</v>
      </c>
      <c r="L65" s="31" t="s">
        <v>27</v>
      </c>
      <c r="M65" s="29" t="s">
        <v>720</v>
      </c>
      <c r="N65" s="29" t="s">
        <v>738</v>
      </c>
      <c r="O65" s="146"/>
      <c r="P65" s="46" t="s">
        <v>31</v>
      </c>
    </row>
    <row r="66" spans="1:16" s="2" customFormat="1">
      <c r="A66" s="146"/>
      <c r="B66" s="29"/>
      <c r="C66" s="29" t="s">
        <v>142</v>
      </c>
      <c r="D66" s="31" t="s">
        <v>21</v>
      </c>
      <c r="E66" s="29" t="s">
        <v>44</v>
      </c>
      <c r="F66" s="53" t="s">
        <v>23</v>
      </c>
      <c r="G66" s="54">
        <v>39692</v>
      </c>
      <c r="H66" s="55">
        <f t="shared" ca="1" si="0"/>
        <v>18</v>
      </c>
      <c r="I66" s="29" t="s">
        <v>45</v>
      </c>
      <c r="J66" s="29" t="s">
        <v>25</v>
      </c>
      <c r="K66" s="29" t="s">
        <v>26</v>
      </c>
      <c r="L66" s="31" t="s">
        <v>27</v>
      </c>
      <c r="M66" s="29" t="s">
        <v>763</v>
      </c>
      <c r="N66" s="29" t="s">
        <v>741</v>
      </c>
      <c r="O66" s="146"/>
      <c r="P66" s="46" t="s">
        <v>31</v>
      </c>
    </row>
    <row r="67" spans="1:16" s="2" customFormat="1">
      <c r="A67" s="147"/>
      <c r="B67" s="35"/>
      <c r="C67" s="35" t="s">
        <v>143</v>
      </c>
      <c r="D67" s="37" t="s">
        <v>21</v>
      </c>
      <c r="E67" s="35" t="s">
        <v>44</v>
      </c>
      <c r="F67" s="56" t="s">
        <v>23</v>
      </c>
      <c r="G67" s="57">
        <v>42520</v>
      </c>
      <c r="H67" s="58">
        <f t="shared" ca="1" si="0"/>
        <v>10</v>
      </c>
      <c r="I67" s="35" t="s">
        <v>45</v>
      </c>
      <c r="J67" s="35" t="s">
        <v>25</v>
      </c>
      <c r="K67" s="35" t="s">
        <v>26</v>
      </c>
      <c r="L67" s="37" t="s">
        <v>27</v>
      </c>
      <c r="M67" s="35" t="s">
        <v>761</v>
      </c>
      <c r="N67" s="35" t="s">
        <v>741</v>
      </c>
      <c r="O67" s="147"/>
      <c r="P67" s="46" t="s">
        <v>31</v>
      </c>
    </row>
    <row r="68" spans="1:16" s="2" customFormat="1">
      <c r="A68" s="158" t="s">
        <v>144</v>
      </c>
      <c r="B68" s="38" t="s">
        <v>145</v>
      </c>
      <c r="C68" s="38" t="s">
        <v>145</v>
      </c>
      <c r="D68" s="24" t="s">
        <v>21</v>
      </c>
      <c r="E68" s="25" t="s">
        <v>22</v>
      </c>
      <c r="F68" s="50" t="s">
        <v>23</v>
      </c>
      <c r="G68" s="51">
        <v>28683</v>
      </c>
      <c r="H68" s="52">
        <f t="shared" ca="1" si="0"/>
        <v>48</v>
      </c>
      <c r="I68" s="25" t="s">
        <v>24</v>
      </c>
      <c r="J68" s="25" t="s">
        <v>25</v>
      </c>
      <c r="K68" s="25" t="s">
        <v>26</v>
      </c>
      <c r="L68" s="24" t="s">
        <v>27</v>
      </c>
      <c r="M68" s="25" t="s">
        <v>720</v>
      </c>
      <c r="N68" s="25" t="s">
        <v>738</v>
      </c>
      <c r="O68" s="145" t="s">
        <v>36</v>
      </c>
      <c r="P68" s="19" t="s">
        <v>37</v>
      </c>
    </row>
    <row r="69" spans="1:16" s="2" customFormat="1">
      <c r="A69" s="159"/>
      <c r="B69" s="29"/>
      <c r="C69" s="29" t="s">
        <v>146</v>
      </c>
      <c r="D69" s="31" t="s">
        <v>39</v>
      </c>
      <c r="E69" s="29" t="s">
        <v>40</v>
      </c>
      <c r="F69" s="53" t="s">
        <v>23</v>
      </c>
      <c r="G69" s="54">
        <v>28820</v>
      </c>
      <c r="H69" s="55">
        <f t="shared" ca="1" si="0"/>
        <v>47</v>
      </c>
      <c r="I69" s="29" t="s">
        <v>24</v>
      </c>
      <c r="J69" s="29" t="s">
        <v>25</v>
      </c>
      <c r="K69" s="29" t="s">
        <v>26</v>
      </c>
      <c r="L69" s="31" t="s">
        <v>27</v>
      </c>
      <c r="M69" s="29" t="s">
        <v>720</v>
      </c>
      <c r="N69" s="29" t="s">
        <v>738</v>
      </c>
      <c r="O69" s="146"/>
      <c r="P69" s="19" t="s">
        <v>37</v>
      </c>
    </row>
    <row r="70" spans="1:16" s="2" customFormat="1">
      <c r="A70" s="159"/>
      <c r="B70" s="29"/>
      <c r="C70" s="29" t="s">
        <v>147</v>
      </c>
      <c r="D70" s="31" t="s">
        <v>39</v>
      </c>
      <c r="E70" s="29" t="s">
        <v>44</v>
      </c>
      <c r="F70" s="53" t="s">
        <v>23</v>
      </c>
      <c r="G70" s="54">
        <v>38184</v>
      </c>
      <c r="H70" s="55">
        <f t="shared" ca="1" si="0"/>
        <v>22</v>
      </c>
      <c r="I70" s="29" t="s">
        <v>45</v>
      </c>
      <c r="J70" s="29" t="s">
        <v>25</v>
      </c>
      <c r="K70" s="29" t="s">
        <v>26</v>
      </c>
      <c r="L70" s="31" t="s">
        <v>27</v>
      </c>
      <c r="M70" s="29" t="s">
        <v>155</v>
      </c>
      <c r="N70" s="91" t="s">
        <v>731</v>
      </c>
      <c r="O70" s="146"/>
      <c r="P70" s="19" t="s">
        <v>37</v>
      </c>
    </row>
    <row r="71" spans="1:16" s="2" customFormat="1">
      <c r="A71" s="160"/>
      <c r="B71" s="35"/>
      <c r="C71" s="35" t="s">
        <v>148</v>
      </c>
      <c r="D71" s="37" t="s">
        <v>21</v>
      </c>
      <c r="E71" s="35" t="s">
        <v>44</v>
      </c>
      <c r="F71" s="56" t="s">
        <v>23</v>
      </c>
      <c r="G71" s="57">
        <v>41025</v>
      </c>
      <c r="H71" s="58">
        <f t="shared" ca="1" si="0"/>
        <v>14</v>
      </c>
      <c r="I71" s="35" t="s">
        <v>45</v>
      </c>
      <c r="J71" s="35" t="s">
        <v>25</v>
      </c>
      <c r="K71" s="35" t="s">
        <v>26</v>
      </c>
      <c r="L71" s="37" t="s">
        <v>27</v>
      </c>
      <c r="M71" s="29" t="s">
        <v>762</v>
      </c>
      <c r="N71" s="35" t="s">
        <v>741</v>
      </c>
      <c r="O71" s="147"/>
      <c r="P71" s="19" t="s">
        <v>37</v>
      </c>
    </row>
    <row r="72" spans="1:16" s="2" customFormat="1">
      <c r="A72" s="158" t="s">
        <v>149</v>
      </c>
      <c r="B72" s="38" t="s">
        <v>150</v>
      </c>
      <c r="C72" s="38" t="s">
        <v>150</v>
      </c>
      <c r="D72" s="24" t="s">
        <v>21</v>
      </c>
      <c r="E72" s="25" t="s">
        <v>22</v>
      </c>
      <c r="F72" s="50" t="s">
        <v>23</v>
      </c>
      <c r="G72" s="51">
        <v>28700</v>
      </c>
      <c r="H72" s="52">
        <f t="shared" ca="1" si="0"/>
        <v>48</v>
      </c>
      <c r="I72" s="25" t="s">
        <v>24</v>
      </c>
      <c r="J72" s="25" t="s">
        <v>25</v>
      </c>
      <c r="K72" s="25" t="s">
        <v>26</v>
      </c>
      <c r="L72" s="24" t="s">
        <v>27</v>
      </c>
      <c r="M72" s="25" t="s">
        <v>720</v>
      </c>
      <c r="N72" s="25" t="s">
        <v>738</v>
      </c>
      <c r="O72" s="145" t="s">
        <v>36</v>
      </c>
      <c r="P72" s="19" t="s">
        <v>37</v>
      </c>
    </row>
    <row r="73" spans="1:16" s="2" customFormat="1">
      <c r="A73" s="159"/>
      <c r="B73" s="29"/>
      <c r="C73" s="29" t="s">
        <v>151</v>
      </c>
      <c r="D73" s="31" t="s">
        <v>39</v>
      </c>
      <c r="E73" s="29" t="s">
        <v>40</v>
      </c>
      <c r="F73" s="53" t="s">
        <v>101</v>
      </c>
      <c r="G73" s="54">
        <v>30002</v>
      </c>
      <c r="H73" s="55">
        <f t="shared" ref="H73:H81" ca="1" si="2">INT((TODAY()-G73)/365)</f>
        <v>44</v>
      </c>
      <c r="I73" s="29" t="s">
        <v>24</v>
      </c>
      <c r="J73" s="29" t="s">
        <v>25</v>
      </c>
      <c r="K73" s="29" t="s">
        <v>26</v>
      </c>
      <c r="L73" s="31" t="s">
        <v>27</v>
      </c>
      <c r="M73" s="29" t="s">
        <v>720</v>
      </c>
      <c r="N73" s="29" t="s">
        <v>739</v>
      </c>
      <c r="O73" s="146"/>
      <c r="P73" s="19" t="s">
        <v>37</v>
      </c>
    </row>
    <row r="74" spans="1:16" s="2" customFormat="1">
      <c r="A74" s="159"/>
      <c r="B74" s="29"/>
      <c r="C74" s="29" t="s">
        <v>152</v>
      </c>
      <c r="D74" s="31" t="s">
        <v>39</v>
      </c>
      <c r="E74" s="29" t="s">
        <v>44</v>
      </c>
      <c r="F74" s="53" t="s">
        <v>101</v>
      </c>
      <c r="G74" s="54">
        <v>38483</v>
      </c>
      <c r="H74" s="55">
        <f t="shared" ca="1" si="2"/>
        <v>21</v>
      </c>
      <c r="I74" s="29" t="s">
        <v>45</v>
      </c>
      <c r="J74" s="29" t="s">
        <v>25</v>
      </c>
      <c r="K74" s="29" t="s">
        <v>26</v>
      </c>
      <c r="L74" s="31" t="s">
        <v>27</v>
      </c>
      <c r="M74" s="35" t="s">
        <v>764</v>
      </c>
      <c r="N74" s="29" t="s">
        <v>741</v>
      </c>
      <c r="O74" s="146"/>
      <c r="P74" s="19" t="s">
        <v>37</v>
      </c>
    </row>
    <row r="75" spans="1:16" s="2" customFormat="1">
      <c r="A75" s="160"/>
      <c r="B75" s="35"/>
      <c r="C75" s="35" t="s">
        <v>153</v>
      </c>
      <c r="D75" s="37" t="s">
        <v>21</v>
      </c>
      <c r="E75" s="35" t="s">
        <v>44</v>
      </c>
      <c r="F75" s="56" t="s">
        <v>101</v>
      </c>
      <c r="G75" s="57">
        <v>40411</v>
      </c>
      <c r="H75" s="58">
        <f t="shared" ca="1" si="2"/>
        <v>16</v>
      </c>
      <c r="I75" s="35" t="s">
        <v>45</v>
      </c>
      <c r="J75" s="35" t="s">
        <v>25</v>
      </c>
      <c r="K75" s="35" t="s">
        <v>26</v>
      </c>
      <c r="L75" s="37" t="s">
        <v>27</v>
      </c>
      <c r="M75" s="29" t="s">
        <v>721</v>
      </c>
      <c r="N75" s="35" t="s">
        <v>741</v>
      </c>
      <c r="O75" s="147"/>
      <c r="P75" s="19" t="s">
        <v>37</v>
      </c>
    </row>
    <row r="76" spans="1:16" s="2" customFormat="1">
      <c r="A76" s="155" t="s">
        <v>154</v>
      </c>
      <c r="B76" s="93" t="s">
        <v>693</v>
      </c>
      <c r="C76" s="93" t="s">
        <v>693</v>
      </c>
      <c r="D76" s="24" t="s">
        <v>39</v>
      </c>
      <c r="E76" s="25" t="s">
        <v>22</v>
      </c>
      <c r="F76" s="35" t="s">
        <v>23</v>
      </c>
      <c r="G76" s="57">
        <v>20796</v>
      </c>
      <c r="H76" s="58">
        <f t="shared" ca="1" si="2"/>
        <v>69</v>
      </c>
      <c r="I76" s="25" t="s">
        <v>695</v>
      </c>
      <c r="J76" s="35" t="s">
        <v>25</v>
      </c>
      <c r="K76" s="35" t="s">
        <v>26</v>
      </c>
      <c r="L76" s="37" t="s">
        <v>27</v>
      </c>
      <c r="M76" s="50" t="s">
        <v>720</v>
      </c>
      <c r="N76" s="25" t="s">
        <v>739</v>
      </c>
      <c r="O76" s="155" t="s">
        <v>30</v>
      </c>
      <c r="P76" s="46" t="s">
        <v>31</v>
      </c>
    </row>
    <row r="77" spans="1:16" s="2" customFormat="1">
      <c r="A77" s="157"/>
      <c r="B77" s="94"/>
      <c r="C77" s="95" t="s">
        <v>694</v>
      </c>
      <c r="D77" s="31" t="s">
        <v>21</v>
      </c>
      <c r="E77" s="29" t="s">
        <v>44</v>
      </c>
      <c r="F77" s="35" t="s">
        <v>167</v>
      </c>
      <c r="G77" s="57">
        <v>32927</v>
      </c>
      <c r="H77" s="58">
        <f t="shared" ca="1" si="2"/>
        <v>36</v>
      </c>
      <c r="I77" s="25" t="s">
        <v>45</v>
      </c>
      <c r="J77" s="35" t="s">
        <v>25</v>
      </c>
      <c r="K77" s="35" t="s">
        <v>26</v>
      </c>
      <c r="L77" s="37" t="s">
        <v>27</v>
      </c>
      <c r="M77" s="50" t="s">
        <v>720</v>
      </c>
      <c r="N77" s="25" t="s">
        <v>737</v>
      </c>
      <c r="O77" s="157"/>
      <c r="P77" s="46" t="s">
        <v>31</v>
      </c>
    </row>
    <row r="78" spans="1:16" s="2" customFormat="1">
      <c r="A78" s="145" t="s">
        <v>156</v>
      </c>
      <c r="B78" s="38" t="s">
        <v>157</v>
      </c>
      <c r="C78" s="38" t="s">
        <v>157</v>
      </c>
      <c r="D78" s="24" t="s">
        <v>21</v>
      </c>
      <c r="E78" s="25" t="s">
        <v>22</v>
      </c>
      <c r="F78" s="25" t="s">
        <v>158</v>
      </c>
      <c r="G78" s="51">
        <v>21745</v>
      </c>
      <c r="H78" s="52">
        <f t="shared" ca="1" si="2"/>
        <v>67</v>
      </c>
      <c r="I78" s="25" t="s">
        <v>24</v>
      </c>
      <c r="J78" s="25" t="s">
        <v>25</v>
      </c>
      <c r="K78" s="25" t="s">
        <v>26</v>
      </c>
      <c r="L78" s="24" t="s">
        <v>112</v>
      </c>
      <c r="M78" s="25" t="s">
        <v>720</v>
      </c>
      <c r="N78" s="25" t="s">
        <v>738</v>
      </c>
      <c r="O78" s="145" t="s">
        <v>36</v>
      </c>
      <c r="P78" s="19" t="s">
        <v>37</v>
      </c>
    </row>
    <row r="79" spans="1:16" s="2" customFormat="1">
      <c r="A79" s="146"/>
      <c r="B79" s="29"/>
      <c r="C79" s="29" t="s">
        <v>159</v>
      </c>
      <c r="D79" s="31" t="s">
        <v>39</v>
      </c>
      <c r="E79" s="29" t="s">
        <v>40</v>
      </c>
      <c r="F79" s="29" t="s">
        <v>160</v>
      </c>
      <c r="G79" s="54">
        <v>24583</v>
      </c>
      <c r="H79" s="55">
        <f t="shared" ca="1" si="2"/>
        <v>59</v>
      </c>
      <c r="I79" s="29" t="s">
        <v>24</v>
      </c>
      <c r="J79" s="29" t="s">
        <v>25</v>
      </c>
      <c r="K79" s="29" t="s">
        <v>26</v>
      </c>
      <c r="L79" s="31" t="s">
        <v>112</v>
      </c>
      <c r="M79" s="29" t="s">
        <v>720</v>
      </c>
      <c r="N79" s="29" t="s">
        <v>739</v>
      </c>
      <c r="O79" s="146"/>
      <c r="P79" s="19" t="s">
        <v>37</v>
      </c>
    </row>
    <row r="80" spans="1:16" s="2" customFormat="1">
      <c r="A80" s="146"/>
      <c r="B80" s="29"/>
      <c r="C80" s="29" t="s">
        <v>161</v>
      </c>
      <c r="D80" s="31" t="s">
        <v>39</v>
      </c>
      <c r="E80" s="29" t="s">
        <v>44</v>
      </c>
      <c r="F80" s="29" t="s">
        <v>41</v>
      </c>
      <c r="G80" s="54">
        <v>33771</v>
      </c>
      <c r="H80" s="55">
        <f t="shared" ca="1" si="2"/>
        <v>34</v>
      </c>
      <c r="I80" s="29" t="s">
        <v>45</v>
      </c>
      <c r="J80" s="29" t="s">
        <v>25</v>
      </c>
      <c r="K80" s="29" t="s">
        <v>26</v>
      </c>
      <c r="L80" s="31" t="s">
        <v>27</v>
      </c>
      <c r="M80" s="29" t="s">
        <v>162</v>
      </c>
      <c r="N80" s="29" t="s">
        <v>738</v>
      </c>
      <c r="O80" s="146"/>
      <c r="P80" s="19" t="s">
        <v>37</v>
      </c>
    </row>
    <row r="81" spans="1:16" s="2" customFormat="1">
      <c r="A81" s="147"/>
      <c r="B81" s="35"/>
      <c r="C81" s="35" t="s">
        <v>163</v>
      </c>
      <c r="D81" s="37" t="s">
        <v>39</v>
      </c>
      <c r="E81" s="35" t="s">
        <v>44</v>
      </c>
      <c r="F81" s="35" t="s">
        <v>48</v>
      </c>
      <c r="G81" s="57">
        <v>35439</v>
      </c>
      <c r="H81" s="58">
        <f t="shared" ca="1" si="2"/>
        <v>29</v>
      </c>
      <c r="I81" s="35" t="s">
        <v>24</v>
      </c>
      <c r="J81" s="35" t="s">
        <v>25</v>
      </c>
      <c r="K81" s="35" t="s">
        <v>26</v>
      </c>
      <c r="L81" s="37" t="s">
        <v>27</v>
      </c>
      <c r="M81" s="35" t="s">
        <v>720</v>
      </c>
      <c r="N81" s="35" t="s">
        <v>738</v>
      </c>
      <c r="O81" s="147"/>
      <c r="P81" s="19" t="s">
        <v>37</v>
      </c>
    </row>
    <row r="82" spans="1:16" s="2" customFormat="1">
      <c r="A82" s="158" t="s">
        <v>164</v>
      </c>
      <c r="B82" s="38" t="s">
        <v>165</v>
      </c>
      <c r="C82" s="38" t="s">
        <v>165</v>
      </c>
      <c r="D82" s="24" t="s">
        <v>21</v>
      </c>
      <c r="E82" s="25" t="s">
        <v>22</v>
      </c>
      <c r="F82" s="25" t="s">
        <v>23</v>
      </c>
      <c r="G82" s="51">
        <v>27483</v>
      </c>
      <c r="H82" s="52">
        <f t="shared" ref="H82:H234" ca="1" si="3">INT((TODAY()-G82)/365)</f>
        <v>51</v>
      </c>
      <c r="I82" s="25" t="s">
        <v>24</v>
      </c>
      <c r="J82" s="25" t="s">
        <v>25</v>
      </c>
      <c r="K82" s="25" t="s">
        <v>26</v>
      </c>
      <c r="L82" s="24" t="s">
        <v>27</v>
      </c>
      <c r="M82" s="25" t="s">
        <v>720</v>
      </c>
      <c r="N82" s="25" t="s">
        <v>737</v>
      </c>
      <c r="O82" s="145" t="s">
        <v>36</v>
      </c>
      <c r="P82" s="19" t="s">
        <v>37</v>
      </c>
    </row>
    <row r="83" spans="1:16" s="2" customFormat="1">
      <c r="A83" s="159"/>
      <c r="B83" s="29"/>
      <c r="C83" s="29" t="s">
        <v>166</v>
      </c>
      <c r="D83" s="31" t="s">
        <v>39</v>
      </c>
      <c r="E83" s="29" t="s">
        <v>40</v>
      </c>
      <c r="F83" s="29" t="s">
        <v>167</v>
      </c>
      <c r="G83" s="54">
        <v>29792</v>
      </c>
      <c r="H83" s="55">
        <f t="shared" ca="1" si="3"/>
        <v>45</v>
      </c>
      <c r="I83" s="29" t="s">
        <v>24</v>
      </c>
      <c r="J83" s="29" t="s">
        <v>25</v>
      </c>
      <c r="K83" s="29" t="s">
        <v>26</v>
      </c>
      <c r="L83" s="31" t="s">
        <v>27</v>
      </c>
      <c r="M83" s="29" t="s">
        <v>720</v>
      </c>
      <c r="N83" s="29" t="s">
        <v>739</v>
      </c>
      <c r="O83" s="146"/>
      <c r="P83" s="19" t="s">
        <v>37</v>
      </c>
    </row>
    <row r="84" spans="1:16" s="2" customFormat="1">
      <c r="A84" s="159"/>
      <c r="B84" s="29"/>
      <c r="C84" s="29" t="s">
        <v>168</v>
      </c>
      <c r="D84" s="31" t="s">
        <v>39</v>
      </c>
      <c r="E84" s="29" t="s">
        <v>44</v>
      </c>
      <c r="F84" s="29" t="s">
        <v>23</v>
      </c>
      <c r="G84" s="54">
        <v>37882</v>
      </c>
      <c r="H84" s="55">
        <f t="shared" ca="1" si="3"/>
        <v>23</v>
      </c>
      <c r="I84" s="29" t="s">
        <v>45</v>
      </c>
      <c r="J84" s="29" t="s">
        <v>25</v>
      </c>
      <c r="K84" s="29" t="s">
        <v>26</v>
      </c>
      <c r="L84" s="31" t="s">
        <v>27</v>
      </c>
      <c r="M84" s="29" t="s">
        <v>720</v>
      </c>
      <c r="N84" s="29" t="s">
        <v>741</v>
      </c>
      <c r="O84" s="146"/>
      <c r="P84" s="19" t="s">
        <v>37</v>
      </c>
    </row>
    <row r="85" spans="1:16" s="2" customFormat="1" ht="11.25" customHeight="1">
      <c r="A85" s="160"/>
      <c r="B85" s="35"/>
      <c r="C85" s="35" t="s">
        <v>169</v>
      </c>
      <c r="D85" s="37" t="s">
        <v>39</v>
      </c>
      <c r="E85" s="35" t="s">
        <v>44</v>
      </c>
      <c r="F85" s="35" t="s">
        <v>23</v>
      </c>
      <c r="G85" s="57">
        <v>40915</v>
      </c>
      <c r="H85" s="58">
        <f t="shared" ca="1" si="3"/>
        <v>14</v>
      </c>
      <c r="I85" s="35" t="s">
        <v>45</v>
      </c>
      <c r="J85" s="35" t="s">
        <v>25</v>
      </c>
      <c r="K85" s="35" t="s">
        <v>26</v>
      </c>
      <c r="L85" s="37" t="s">
        <v>27</v>
      </c>
      <c r="M85" s="35" t="s">
        <v>98</v>
      </c>
      <c r="N85" s="35" t="s">
        <v>741</v>
      </c>
      <c r="O85" s="147"/>
      <c r="P85" s="19" t="s">
        <v>37</v>
      </c>
    </row>
    <row r="86" spans="1:16" s="2" customFormat="1">
      <c r="A86" s="145" t="s">
        <v>170</v>
      </c>
      <c r="B86" s="38" t="s">
        <v>280</v>
      </c>
      <c r="C86" s="38" t="s">
        <v>280</v>
      </c>
      <c r="D86" s="117" t="s">
        <v>21</v>
      </c>
      <c r="E86" s="25" t="s">
        <v>22</v>
      </c>
      <c r="F86" s="25" t="s">
        <v>79</v>
      </c>
      <c r="G86" s="51">
        <v>28941</v>
      </c>
      <c r="H86" s="52">
        <f t="shared" ref="H86:H90" ca="1" si="4">INT((TODAY()-G86)/365)</f>
        <v>47</v>
      </c>
      <c r="I86" s="25" t="s">
        <v>24</v>
      </c>
      <c r="J86" s="25" t="s">
        <v>25</v>
      </c>
      <c r="K86" s="25" t="s">
        <v>26</v>
      </c>
      <c r="L86" s="117" t="s">
        <v>27</v>
      </c>
      <c r="M86" s="25" t="s">
        <v>248</v>
      </c>
      <c r="N86" s="25" t="s">
        <v>737</v>
      </c>
      <c r="O86" s="145" t="s">
        <v>30</v>
      </c>
      <c r="P86" s="19" t="s">
        <v>37</v>
      </c>
    </row>
    <row r="87" spans="1:16" s="2" customFormat="1">
      <c r="A87" s="146"/>
      <c r="B87" s="29"/>
      <c r="C87" s="29" t="s">
        <v>281</v>
      </c>
      <c r="D87" s="118" t="s">
        <v>39</v>
      </c>
      <c r="E87" s="29" t="s">
        <v>40</v>
      </c>
      <c r="F87" s="29" t="s">
        <v>282</v>
      </c>
      <c r="G87" s="54">
        <v>30165</v>
      </c>
      <c r="H87" s="55">
        <f t="shared" ca="1" si="4"/>
        <v>44</v>
      </c>
      <c r="I87" s="29" t="s">
        <v>24</v>
      </c>
      <c r="J87" s="29" t="s">
        <v>25</v>
      </c>
      <c r="K87" s="29" t="s">
        <v>26</v>
      </c>
      <c r="L87" s="118" t="s">
        <v>87</v>
      </c>
      <c r="M87" s="29" t="s">
        <v>248</v>
      </c>
      <c r="N87" s="29" t="s">
        <v>739</v>
      </c>
      <c r="O87" s="146"/>
      <c r="P87" s="19" t="s">
        <v>37</v>
      </c>
    </row>
    <row r="88" spans="1:16" s="2" customFormat="1">
      <c r="A88" s="146"/>
      <c r="B88" s="29"/>
      <c r="C88" s="29" t="s">
        <v>283</v>
      </c>
      <c r="D88" s="118" t="s">
        <v>21</v>
      </c>
      <c r="E88" s="29" t="s">
        <v>44</v>
      </c>
      <c r="F88" s="29" t="s">
        <v>282</v>
      </c>
      <c r="G88" s="54">
        <v>39711</v>
      </c>
      <c r="H88" s="55">
        <f t="shared" ca="1" si="4"/>
        <v>18</v>
      </c>
      <c r="I88" s="29" t="s">
        <v>45</v>
      </c>
      <c r="J88" s="29" t="s">
        <v>25</v>
      </c>
      <c r="K88" s="29" t="s">
        <v>26</v>
      </c>
      <c r="L88" s="118" t="s">
        <v>27</v>
      </c>
      <c r="M88" s="29" t="s">
        <v>763</v>
      </c>
      <c r="N88" s="29" t="s">
        <v>741</v>
      </c>
      <c r="O88" s="146"/>
      <c r="P88" s="19" t="s">
        <v>37</v>
      </c>
    </row>
    <row r="89" spans="1:16" s="2" customFormat="1">
      <c r="A89" s="146"/>
      <c r="B89" s="29"/>
      <c r="C89" s="29" t="s">
        <v>284</v>
      </c>
      <c r="D89" s="118" t="s">
        <v>21</v>
      </c>
      <c r="E89" s="29" t="s">
        <v>44</v>
      </c>
      <c r="F89" s="29" t="s">
        <v>23</v>
      </c>
      <c r="G89" s="54">
        <v>42190</v>
      </c>
      <c r="H89" s="55">
        <f t="shared" ca="1" si="4"/>
        <v>11</v>
      </c>
      <c r="I89" s="29" t="s">
        <v>45</v>
      </c>
      <c r="J89" s="29" t="s">
        <v>25</v>
      </c>
      <c r="K89" s="29" t="s">
        <v>26</v>
      </c>
      <c r="L89" s="118" t="s">
        <v>27</v>
      </c>
      <c r="M89" s="29" t="s">
        <v>721</v>
      </c>
      <c r="N89" s="29" t="s">
        <v>741</v>
      </c>
      <c r="O89" s="146"/>
      <c r="P89" s="19" t="s">
        <v>37</v>
      </c>
    </row>
    <row r="90" spans="1:16" s="2" customFormat="1">
      <c r="A90" s="147"/>
      <c r="B90" s="35"/>
      <c r="C90" s="35" t="s">
        <v>285</v>
      </c>
      <c r="D90" s="119" t="s">
        <v>21</v>
      </c>
      <c r="E90" s="35" t="s">
        <v>44</v>
      </c>
      <c r="F90" s="35" t="s">
        <v>48</v>
      </c>
      <c r="G90" s="57">
        <v>43599</v>
      </c>
      <c r="H90" s="58">
        <f t="shared" ca="1" si="4"/>
        <v>7</v>
      </c>
      <c r="I90" s="35" t="s">
        <v>45</v>
      </c>
      <c r="J90" s="35" t="s">
        <v>25</v>
      </c>
      <c r="K90" s="35" t="s">
        <v>26</v>
      </c>
      <c r="L90" s="119" t="s">
        <v>27</v>
      </c>
      <c r="M90" s="35" t="s">
        <v>719</v>
      </c>
      <c r="N90" s="35" t="s">
        <v>731</v>
      </c>
      <c r="O90" s="147"/>
      <c r="P90" s="19" t="s">
        <v>37</v>
      </c>
    </row>
    <row r="91" spans="1:16" s="2" customFormat="1">
      <c r="A91" s="145" t="s">
        <v>171</v>
      </c>
      <c r="B91" s="38" t="s">
        <v>707</v>
      </c>
      <c r="C91" s="38" t="s">
        <v>707</v>
      </c>
      <c r="D91" s="24" t="s">
        <v>21</v>
      </c>
      <c r="E91" s="25" t="s">
        <v>22</v>
      </c>
      <c r="F91" s="29" t="s">
        <v>97</v>
      </c>
      <c r="G91" s="51">
        <v>34945</v>
      </c>
      <c r="H91" s="52">
        <f t="shared" ca="1" si="3"/>
        <v>31</v>
      </c>
      <c r="I91" s="25" t="s">
        <v>24</v>
      </c>
      <c r="J91" s="25" t="s">
        <v>25</v>
      </c>
      <c r="K91" s="25" t="s">
        <v>26</v>
      </c>
      <c r="L91" s="24" t="s">
        <v>27</v>
      </c>
      <c r="M91" s="25" t="s">
        <v>720</v>
      </c>
      <c r="N91" s="25" t="s">
        <v>738</v>
      </c>
      <c r="O91" s="145" t="s">
        <v>30</v>
      </c>
      <c r="P91" s="46" t="s">
        <v>31</v>
      </c>
    </row>
    <row r="92" spans="1:16" s="2" customFormat="1">
      <c r="A92" s="146"/>
      <c r="B92" s="29"/>
      <c r="C92" s="29" t="s">
        <v>708</v>
      </c>
      <c r="D92" s="31" t="s">
        <v>39</v>
      </c>
      <c r="E92" s="29" t="s">
        <v>40</v>
      </c>
      <c r="F92" s="29" t="s">
        <v>97</v>
      </c>
      <c r="G92" s="54">
        <v>36273</v>
      </c>
      <c r="H92" s="55">
        <f t="shared" ca="1" si="3"/>
        <v>27</v>
      </c>
      <c r="I92" s="29" t="s">
        <v>24</v>
      </c>
      <c r="J92" s="29" t="s">
        <v>25</v>
      </c>
      <c r="K92" s="29" t="s">
        <v>26</v>
      </c>
      <c r="L92" s="117" t="s">
        <v>27</v>
      </c>
      <c r="M92" s="29" t="s">
        <v>720</v>
      </c>
      <c r="N92" s="29" t="s">
        <v>739</v>
      </c>
      <c r="O92" s="146"/>
      <c r="P92" s="46" t="s">
        <v>31</v>
      </c>
    </row>
    <row r="93" spans="1:16" s="2" customFormat="1">
      <c r="A93" s="146"/>
      <c r="B93" s="91"/>
      <c r="C93" s="91" t="s">
        <v>709</v>
      </c>
      <c r="D93" s="97" t="s">
        <v>39</v>
      </c>
      <c r="E93" s="29" t="s">
        <v>44</v>
      </c>
      <c r="F93" s="29" t="s">
        <v>97</v>
      </c>
      <c r="G93" s="98">
        <v>44412</v>
      </c>
      <c r="H93" s="104">
        <f t="shared" ca="1" si="3"/>
        <v>5</v>
      </c>
      <c r="I93" s="91" t="s">
        <v>45</v>
      </c>
      <c r="J93" s="29" t="s">
        <v>25</v>
      </c>
      <c r="K93" s="29" t="s">
        <v>26</v>
      </c>
      <c r="L93" s="117" t="s">
        <v>27</v>
      </c>
      <c r="M93" s="91" t="s">
        <v>719</v>
      </c>
      <c r="N93" s="91" t="s">
        <v>731</v>
      </c>
      <c r="O93" s="146"/>
      <c r="P93" s="46" t="s">
        <v>31</v>
      </c>
    </row>
    <row r="94" spans="1:16" s="2" customFormat="1">
      <c r="A94" s="145" t="s">
        <v>176</v>
      </c>
      <c r="B94" s="38" t="s">
        <v>177</v>
      </c>
      <c r="C94" s="38" t="s">
        <v>177</v>
      </c>
      <c r="D94" s="24" t="s">
        <v>21</v>
      </c>
      <c r="E94" s="25" t="s">
        <v>22</v>
      </c>
      <c r="F94" s="25" t="s">
        <v>101</v>
      </c>
      <c r="G94" s="51">
        <v>27486</v>
      </c>
      <c r="H94" s="52">
        <f t="shared" ca="1" si="3"/>
        <v>51</v>
      </c>
      <c r="I94" s="25" t="s">
        <v>24</v>
      </c>
      <c r="J94" s="25" t="s">
        <v>25</v>
      </c>
      <c r="K94" s="25" t="s">
        <v>26</v>
      </c>
      <c r="L94" s="24" t="s">
        <v>27</v>
      </c>
      <c r="M94" s="25" t="s">
        <v>720</v>
      </c>
      <c r="N94" s="25" t="s">
        <v>738</v>
      </c>
      <c r="O94" s="145" t="s">
        <v>36</v>
      </c>
      <c r="P94" s="19" t="s">
        <v>37</v>
      </c>
    </row>
    <row r="95" spans="1:16" s="2" customFormat="1">
      <c r="A95" s="146"/>
      <c r="B95" s="29"/>
      <c r="C95" s="29" t="s">
        <v>178</v>
      </c>
      <c r="D95" s="31" t="s">
        <v>39</v>
      </c>
      <c r="E95" s="29" t="s">
        <v>40</v>
      </c>
      <c r="F95" s="29" t="s">
        <v>97</v>
      </c>
      <c r="G95" s="54">
        <v>29097</v>
      </c>
      <c r="H95" s="55">
        <f t="shared" ca="1" si="3"/>
        <v>47</v>
      </c>
      <c r="I95" s="29" t="s">
        <v>24</v>
      </c>
      <c r="J95" s="29" t="s">
        <v>25</v>
      </c>
      <c r="K95" s="29" t="s">
        <v>26</v>
      </c>
      <c r="L95" s="31" t="s">
        <v>27</v>
      </c>
      <c r="M95" s="29" t="s">
        <v>721</v>
      </c>
      <c r="N95" s="29" t="s">
        <v>739</v>
      </c>
      <c r="O95" s="146"/>
      <c r="P95" s="19" t="s">
        <v>37</v>
      </c>
    </row>
    <row r="96" spans="1:16" s="2" customFormat="1">
      <c r="A96" s="146"/>
      <c r="B96" s="29"/>
      <c r="C96" s="29" t="s">
        <v>179</v>
      </c>
      <c r="D96" s="31" t="s">
        <v>21</v>
      </c>
      <c r="E96" s="29" t="s">
        <v>44</v>
      </c>
      <c r="F96" s="29" t="s">
        <v>23</v>
      </c>
      <c r="G96" s="54">
        <v>37381</v>
      </c>
      <c r="H96" s="55">
        <f t="shared" ca="1" si="3"/>
        <v>24</v>
      </c>
      <c r="I96" s="29" t="s">
        <v>45</v>
      </c>
      <c r="J96" s="29" t="s">
        <v>25</v>
      </c>
      <c r="K96" s="29" t="s">
        <v>26</v>
      </c>
      <c r="L96" s="31" t="s">
        <v>27</v>
      </c>
      <c r="M96" s="29" t="s">
        <v>720</v>
      </c>
      <c r="N96" s="25" t="s">
        <v>738</v>
      </c>
      <c r="O96" s="146"/>
      <c r="P96" s="19" t="s">
        <v>37</v>
      </c>
    </row>
    <row r="97" spans="1:16" s="2" customFormat="1">
      <c r="A97" s="147"/>
      <c r="B97" s="35"/>
      <c r="C97" s="35" t="s">
        <v>180</v>
      </c>
      <c r="D97" s="37" t="s">
        <v>39</v>
      </c>
      <c r="E97" s="35" t="s">
        <v>44</v>
      </c>
      <c r="F97" s="35" t="s">
        <v>23</v>
      </c>
      <c r="G97" s="57">
        <v>40536</v>
      </c>
      <c r="H97" s="58">
        <f t="shared" ca="1" si="3"/>
        <v>15</v>
      </c>
      <c r="I97" s="35" t="s">
        <v>45</v>
      </c>
      <c r="J97" s="35" t="s">
        <v>25</v>
      </c>
      <c r="K97" s="35" t="s">
        <v>26</v>
      </c>
      <c r="L97" s="37" t="s">
        <v>27</v>
      </c>
      <c r="M97" s="29" t="s">
        <v>721</v>
      </c>
      <c r="N97" s="35" t="s">
        <v>741</v>
      </c>
      <c r="O97" s="147"/>
      <c r="P97" s="19" t="s">
        <v>37</v>
      </c>
    </row>
    <row r="98" spans="1:16" s="2" customFormat="1">
      <c r="A98" s="154" t="s">
        <v>181</v>
      </c>
      <c r="B98" s="38" t="s">
        <v>182</v>
      </c>
      <c r="C98" s="38" t="s">
        <v>182</v>
      </c>
      <c r="D98" s="24" t="s">
        <v>21</v>
      </c>
      <c r="E98" s="25" t="s">
        <v>22</v>
      </c>
      <c r="F98" s="69" t="s">
        <v>101</v>
      </c>
      <c r="G98" s="51">
        <v>23232</v>
      </c>
      <c r="H98" s="52">
        <f t="shared" ca="1" si="3"/>
        <v>63</v>
      </c>
      <c r="I98" s="25" t="s">
        <v>24</v>
      </c>
      <c r="J98" s="25" t="s">
        <v>25</v>
      </c>
      <c r="K98" s="25" t="s">
        <v>26</v>
      </c>
      <c r="L98" s="24" t="s">
        <v>27</v>
      </c>
      <c r="M98" s="25" t="s">
        <v>720</v>
      </c>
      <c r="N98" s="25" t="s">
        <v>740</v>
      </c>
      <c r="O98" s="145" t="s">
        <v>30</v>
      </c>
      <c r="P98" s="19" t="s">
        <v>37</v>
      </c>
    </row>
    <row r="99" spans="1:16" s="2" customFormat="1">
      <c r="A99" s="154"/>
      <c r="B99" s="29"/>
      <c r="C99" s="29" t="s">
        <v>183</v>
      </c>
      <c r="D99" s="31" t="s">
        <v>39</v>
      </c>
      <c r="E99" s="29" t="s">
        <v>40</v>
      </c>
      <c r="F99" s="70" t="s">
        <v>101</v>
      </c>
      <c r="G99" s="54">
        <v>27030</v>
      </c>
      <c r="H99" s="55">
        <f t="shared" ca="1" si="3"/>
        <v>52</v>
      </c>
      <c r="I99" s="29" t="s">
        <v>24</v>
      </c>
      <c r="J99" s="29" t="s">
        <v>25</v>
      </c>
      <c r="K99" s="29" t="s">
        <v>26</v>
      </c>
      <c r="L99" s="31" t="s">
        <v>27</v>
      </c>
      <c r="M99" s="29" t="s">
        <v>720</v>
      </c>
      <c r="N99" s="29" t="s">
        <v>739</v>
      </c>
      <c r="O99" s="146"/>
      <c r="P99" s="19" t="s">
        <v>37</v>
      </c>
    </row>
    <row r="100" spans="1:16" s="2" customFormat="1">
      <c r="A100" s="154"/>
      <c r="B100" s="35"/>
      <c r="C100" s="35" t="s">
        <v>184</v>
      </c>
      <c r="D100" s="37" t="s">
        <v>39</v>
      </c>
      <c r="E100" s="35" t="s">
        <v>44</v>
      </c>
      <c r="F100" s="71" t="s">
        <v>101</v>
      </c>
      <c r="G100" s="57">
        <v>36383</v>
      </c>
      <c r="H100" s="58">
        <f t="shared" ca="1" si="3"/>
        <v>27</v>
      </c>
      <c r="I100" s="35" t="s">
        <v>45</v>
      </c>
      <c r="J100" s="35" t="s">
        <v>25</v>
      </c>
      <c r="K100" s="35" t="s">
        <v>26</v>
      </c>
      <c r="L100" s="37" t="s">
        <v>27</v>
      </c>
      <c r="M100" s="35" t="s">
        <v>720</v>
      </c>
      <c r="N100" s="35" t="s">
        <v>738</v>
      </c>
      <c r="O100" s="146"/>
      <c r="P100" s="19" t="s">
        <v>37</v>
      </c>
    </row>
    <row r="101" spans="1:16" s="2" customFormat="1" ht="15" customHeight="1">
      <c r="A101" s="155" t="s">
        <v>185</v>
      </c>
      <c r="B101" s="99" t="s">
        <v>186</v>
      </c>
      <c r="C101" s="99" t="s">
        <v>186</v>
      </c>
      <c r="D101" s="24" t="s">
        <v>21</v>
      </c>
      <c r="E101" s="25" t="s">
        <v>22</v>
      </c>
      <c r="F101" s="100" t="s">
        <v>187</v>
      </c>
      <c r="G101" s="57">
        <v>25877</v>
      </c>
      <c r="H101" s="58">
        <f t="shared" ca="1" si="3"/>
        <v>55</v>
      </c>
      <c r="I101" s="25" t="s">
        <v>24</v>
      </c>
      <c r="J101" s="35" t="s">
        <v>25</v>
      </c>
      <c r="K101" s="35" t="s">
        <v>26</v>
      </c>
      <c r="L101" s="37" t="s">
        <v>27</v>
      </c>
      <c r="M101" s="35" t="s">
        <v>720</v>
      </c>
      <c r="N101" s="32" t="s">
        <v>737</v>
      </c>
      <c r="O101" s="156" t="s">
        <v>36</v>
      </c>
      <c r="P101" s="19" t="s">
        <v>37</v>
      </c>
    </row>
    <row r="102" spans="1:16" s="2" customFormat="1">
      <c r="A102" s="156"/>
      <c r="B102" s="99"/>
      <c r="C102" s="32" t="s">
        <v>188</v>
      </c>
      <c r="D102" s="31" t="s">
        <v>39</v>
      </c>
      <c r="E102" s="29" t="s">
        <v>40</v>
      </c>
      <c r="F102" s="100" t="s">
        <v>48</v>
      </c>
      <c r="G102" s="57">
        <v>28983</v>
      </c>
      <c r="H102" s="58">
        <f t="shared" ca="1" si="3"/>
        <v>47</v>
      </c>
      <c r="I102" s="29" t="s">
        <v>24</v>
      </c>
      <c r="J102" s="35" t="s">
        <v>25</v>
      </c>
      <c r="K102" s="35" t="s">
        <v>26</v>
      </c>
      <c r="L102" s="37" t="s">
        <v>27</v>
      </c>
      <c r="M102" s="32" t="s">
        <v>189</v>
      </c>
      <c r="N102" s="29" t="s">
        <v>739</v>
      </c>
      <c r="O102" s="156"/>
      <c r="P102" s="19" t="s">
        <v>37</v>
      </c>
    </row>
    <row r="103" spans="1:16" s="2" customFormat="1">
      <c r="A103" s="156"/>
      <c r="B103" s="99"/>
      <c r="C103" s="32" t="s">
        <v>190</v>
      </c>
      <c r="D103" s="31" t="s">
        <v>21</v>
      </c>
      <c r="E103" s="29" t="s">
        <v>44</v>
      </c>
      <c r="F103" s="100" t="s">
        <v>23</v>
      </c>
      <c r="G103" s="57">
        <v>35238</v>
      </c>
      <c r="H103" s="58">
        <f t="shared" ca="1" si="3"/>
        <v>30</v>
      </c>
      <c r="I103" s="35" t="s">
        <v>45</v>
      </c>
      <c r="J103" s="35" t="s">
        <v>25</v>
      </c>
      <c r="K103" s="35" t="s">
        <v>26</v>
      </c>
      <c r="L103" s="37" t="s">
        <v>27</v>
      </c>
      <c r="M103" s="35" t="s">
        <v>720</v>
      </c>
      <c r="N103" s="29" t="s">
        <v>738</v>
      </c>
      <c r="O103" s="156"/>
      <c r="P103" s="19" t="s">
        <v>37</v>
      </c>
    </row>
    <row r="104" spans="1:16" s="2" customFormat="1">
      <c r="A104" s="156"/>
      <c r="B104" s="99"/>
      <c r="C104" s="32" t="s">
        <v>191</v>
      </c>
      <c r="D104" s="97" t="s">
        <v>21</v>
      </c>
      <c r="E104" s="29" t="s">
        <v>44</v>
      </c>
      <c r="F104" s="100" t="s">
        <v>48</v>
      </c>
      <c r="G104" s="57">
        <v>36818</v>
      </c>
      <c r="H104" s="58">
        <f t="shared" ca="1" si="3"/>
        <v>25</v>
      </c>
      <c r="I104" s="35" t="s">
        <v>45</v>
      </c>
      <c r="J104" s="35" t="s">
        <v>25</v>
      </c>
      <c r="K104" s="35" t="s">
        <v>26</v>
      </c>
      <c r="L104" s="37" t="s">
        <v>27</v>
      </c>
      <c r="M104" s="35" t="s">
        <v>720</v>
      </c>
      <c r="N104" s="29" t="s">
        <v>741</v>
      </c>
      <c r="O104" s="156"/>
      <c r="P104" s="19" t="s">
        <v>37</v>
      </c>
    </row>
    <row r="105" spans="1:16" s="2" customFormat="1">
      <c r="A105" s="156"/>
      <c r="B105" s="99"/>
      <c r="C105" s="32" t="s">
        <v>192</v>
      </c>
      <c r="D105" s="97" t="s">
        <v>21</v>
      </c>
      <c r="E105" s="29" t="s">
        <v>44</v>
      </c>
      <c r="F105" s="100" t="s">
        <v>48</v>
      </c>
      <c r="G105" s="57">
        <v>39269</v>
      </c>
      <c r="H105" s="58">
        <f t="shared" ca="1" si="3"/>
        <v>19</v>
      </c>
      <c r="I105" s="35" t="s">
        <v>45</v>
      </c>
      <c r="J105" s="35" t="s">
        <v>25</v>
      </c>
      <c r="K105" s="35" t="s">
        <v>26</v>
      </c>
      <c r="L105" s="37" t="s">
        <v>27</v>
      </c>
      <c r="M105" s="29" t="s">
        <v>763</v>
      </c>
      <c r="N105" s="29" t="s">
        <v>741</v>
      </c>
      <c r="O105" s="156"/>
      <c r="P105" s="19" t="s">
        <v>37</v>
      </c>
    </row>
    <row r="106" spans="1:16" s="84" customFormat="1">
      <c r="A106" s="157"/>
      <c r="B106" s="101"/>
      <c r="C106" s="102" t="s">
        <v>193</v>
      </c>
      <c r="D106" s="37" t="s">
        <v>39</v>
      </c>
      <c r="E106" s="35" t="s">
        <v>44</v>
      </c>
      <c r="F106" s="102" t="s">
        <v>23</v>
      </c>
      <c r="G106" s="57">
        <v>41003</v>
      </c>
      <c r="H106" s="58">
        <f t="shared" ca="1" si="3"/>
        <v>14</v>
      </c>
      <c r="I106" s="35" t="s">
        <v>45</v>
      </c>
      <c r="J106" s="35" t="s">
        <v>25</v>
      </c>
      <c r="K106" s="35" t="s">
        <v>26</v>
      </c>
      <c r="L106" s="37" t="s">
        <v>27</v>
      </c>
      <c r="M106" s="35" t="s">
        <v>98</v>
      </c>
      <c r="N106" s="29" t="s">
        <v>741</v>
      </c>
      <c r="O106" s="157"/>
      <c r="P106" s="19" t="s">
        <v>37</v>
      </c>
    </row>
    <row r="107" spans="1:16" s="2" customFormat="1">
      <c r="A107" s="145" t="s">
        <v>194</v>
      </c>
      <c r="B107" s="38" t="s">
        <v>195</v>
      </c>
      <c r="C107" s="38" t="s">
        <v>195</v>
      </c>
      <c r="D107" s="24" t="s">
        <v>21</v>
      </c>
      <c r="E107" s="25" t="s">
        <v>22</v>
      </c>
      <c r="F107" s="25" t="s">
        <v>23</v>
      </c>
      <c r="G107" s="51">
        <v>28031</v>
      </c>
      <c r="H107" s="52">
        <f t="shared" ref="H107:H112" ca="1" si="5">INT((TODAY()-G107)/365)</f>
        <v>50</v>
      </c>
      <c r="I107" s="25" t="s">
        <v>24</v>
      </c>
      <c r="J107" s="25" t="s">
        <v>25</v>
      </c>
      <c r="K107" s="25" t="s">
        <v>26</v>
      </c>
      <c r="L107" s="24" t="s">
        <v>27</v>
      </c>
      <c r="M107" s="25" t="s">
        <v>720</v>
      </c>
      <c r="N107" s="25" t="s">
        <v>738</v>
      </c>
      <c r="O107" s="145" t="s">
        <v>36</v>
      </c>
      <c r="P107" s="19" t="s">
        <v>37</v>
      </c>
    </row>
    <row r="108" spans="1:16" s="2" customFormat="1">
      <c r="A108" s="146"/>
      <c r="B108" s="29"/>
      <c r="C108" s="29" t="s">
        <v>196</v>
      </c>
      <c r="D108" s="31" t="s">
        <v>39</v>
      </c>
      <c r="E108" s="29" t="s">
        <v>40</v>
      </c>
      <c r="F108" s="29" t="s">
        <v>48</v>
      </c>
      <c r="G108" s="54">
        <v>28273</v>
      </c>
      <c r="H108" s="55">
        <f t="shared" ca="1" si="5"/>
        <v>49</v>
      </c>
      <c r="I108" s="29" t="s">
        <v>24</v>
      </c>
      <c r="J108" s="29" t="s">
        <v>25</v>
      </c>
      <c r="K108" s="29" t="s">
        <v>26</v>
      </c>
      <c r="L108" s="31" t="s">
        <v>27</v>
      </c>
      <c r="M108" s="29" t="s">
        <v>720</v>
      </c>
      <c r="N108" s="29" t="s">
        <v>739</v>
      </c>
      <c r="O108" s="146"/>
      <c r="P108" s="19" t="s">
        <v>37</v>
      </c>
    </row>
    <row r="109" spans="1:16" s="2" customFormat="1">
      <c r="A109" s="146"/>
      <c r="B109" s="29"/>
      <c r="C109" s="29" t="s">
        <v>197</v>
      </c>
      <c r="D109" s="31" t="s">
        <v>21</v>
      </c>
      <c r="E109" s="29" t="s">
        <v>44</v>
      </c>
      <c r="F109" s="29" t="s">
        <v>23</v>
      </c>
      <c r="G109" s="54">
        <v>37590</v>
      </c>
      <c r="H109" s="55">
        <f t="shared" ca="1" si="5"/>
        <v>23</v>
      </c>
      <c r="I109" s="29" t="s">
        <v>45</v>
      </c>
      <c r="J109" s="29" t="s">
        <v>25</v>
      </c>
      <c r="K109" s="29" t="s">
        <v>26</v>
      </c>
      <c r="L109" s="31" t="s">
        <v>27</v>
      </c>
      <c r="M109" s="29" t="s">
        <v>720</v>
      </c>
      <c r="N109" s="29" t="s">
        <v>741</v>
      </c>
      <c r="O109" s="146"/>
      <c r="P109" s="19" t="s">
        <v>37</v>
      </c>
    </row>
    <row r="110" spans="1:16" s="2" customFormat="1">
      <c r="A110" s="146"/>
      <c r="B110" s="29"/>
      <c r="C110" s="29" t="s">
        <v>198</v>
      </c>
      <c r="D110" s="31" t="s">
        <v>39</v>
      </c>
      <c r="E110" s="29" t="s">
        <v>44</v>
      </c>
      <c r="F110" s="29" t="s">
        <v>23</v>
      </c>
      <c r="G110" s="54">
        <v>39100</v>
      </c>
      <c r="H110" s="55">
        <f t="shared" ca="1" si="5"/>
        <v>19</v>
      </c>
      <c r="I110" s="29" t="s">
        <v>45</v>
      </c>
      <c r="J110" s="29" t="s">
        <v>25</v>
      </c>
      <c r="K110" s="29" t="s">
        <v>26</v>
      </c>
      <c r="L110" s="31" t="s">
        <v>27</v>
      </c>
      <c r="M110" s="29" t="s">
        <v>763</v>
      </c>
      <c r="N110" s="29" t="s">
        <v>741</v>
      </c>
      <c r="O110" s="146"/>
      <c r="P110" s="19" t="s">
        <v>37</v>
      </c>
    </row>
    <row r="111" spans="1:16" s="2" customFormat="1">
      <c r="A111" s="146"/>
      <c r="B111" s="29"/>
      <c r="C111" s="29" t="s">
        <v>199</v>
      </c>
      <c r="D111" s="31" t="s">
        <v>39</v>
      </c>
      <c r="E111" s="29" t="s">
        <v>44</v>
      </c>
      <c r="F111" s="29" t="s">
        <v>23</v>
      </c>
      <c r="G111" s="54">
        <v>40745</v>
      </c>
      <c r="H111" s="55">
        <f t="shared" ca="1" si="5"/>
        <v>15</v>
      </c>
      <c r="I111" s="29" t="s">
        <v>45</v>
      </c>
      <c r="J111" s="29" t="s">
        <v>25</v>
      </c>
      <c r="K111" s="29" t="s">
        <v>26</v>
      </c>
      <c r="L111" s="31" t="s">
        <v>27</v>
      </c>
      <c r="M111" s="29" t="s">
        <v>721</v>
      </c>
      <c r="N111" s="29" t="s">
        <v>741</v>
      </c>
      <c r="O111" s="146"/>
      <c r="P111" s="19" t="s">
        <v>37</v>
      </c>
    </row>
    <row r="112" spans="1:16" s="2" customFormat="1">
      <c r="A112" s="147"/>
      <c r="B112" s="35"/>
      <c r="C112" s="35" t="s">
        <v>200</v>
      </c>
      <c r="D112" s="37" t="s">
        <v>21</v>
      </c>
      <c r="E112" s="35" t="s">
        <v>44</v>
      </c>
      <c r="F112" s="35" t="s">
        <v>23</v>
      </c>
      <c r="G112" s="57">
        <v>41718</v>
      </c>
      <c r="H112" s="58">
        <f t="shared" ca="1" si="5"/>
        <v>12</v>
      </c>
      <c r="I112" s="35" t="s">
        <v>45</v>
      </c>
      <c r="J112" s="35" t="s">
        <v>25</v>
      </c>
      <c r="K112" s="35" t="s">
        <v>26</v>
      </c>
      <c r="L112" s="37" t="s">
        <v>27</v>
      </c>
      <c r="M112" s="35" t="s">
        <v>764</v>
      </c>
      <c r="N112" s="35" t="s">
        <v>741</v>
      </c>
      <c r="O112" s="147"/>
      <c r="P112" s="19" t="s">
        <v>37</v>
      </c>
    </row>
    <row r="113" spans="1:16" s="2" customFormat="1">
      <c r="A113" s="145" t="s">
        <v>201</v>
      </c>
      <c r="B113" s="39" t="s">
        <v>202</v>
      </c>
      <c r="C113" s="39" t="s">
        <v>202</v>
      </c>
      <c r="D113" s="24" t="s">
        <v>21</v>
      </c>
      <c r="E113" s="25" t="s">
        <v>22</v>
      </c>
      <c r="F113" s="25" t="s">
        <v>203</v>
      </c>
      <c r="G113" s="51">
        <v>31659</v>
      </c>
      <c r="H113" s="52">
        <f t="shared" ca="1" si="3"/>
        <v>40</v>
      </c>
      <c r="I113" s="25" t="s">
        <v>24</v>
      </c>
      <c r="J113" s="25" t="s">
        <v>25</v>
      </c>
      <c r="K113" s="25" t="s">
        <v>26</v>
      </c>
      <c r="L113" s="24" t="s">
        <v>112</v>
      </c>
      <c r="M113" s="25" t="s">
        <v>204</v>
      </c>
      <c r="N113" s="25" t="s">
        <v>738</v>
      </c>
      <c r="O113" s="145" t="s">
        <v>36</v>
      </c>
      <c r="P113" s="19" t="s">
        <v>37</v>
      </c>
    </row>
    <row r="114" spans="1:16" s="2" customFormat="1">
      <c r="A114" s="146"/>
      <c r="B114" s="29"/>
      <c r="C114" s="30" t="s">
        <v>205</v>
      </c>
      <c r="D114" s="31" t="s">
        <v>39</v>
      </c>
      <c r="E114" s="29" t="s">
        <v>40</v>
      </c>
      <c r="F114" s="29" t="s">
        <v>203</v>
      </c>
      <c r="G114" s="54">
        <v>31270</v>
      </c>
      <c r="H114" s="55">
        <f t="shared" ca="1" si="3"/>
        <v>41</v>
      </c>
      <c r="I114" s="29" t="s">
        <v>24</v>
      </c>
      <c r="J114" s="29" t="s">
        <v>25</v>
      </c>
      <c r="K114" s="29" t="s">
        <v>26</v>
      </c>
      <c r="L114" s="31" t="s">
        <v>112</v>
      </c>
      <c r="M114" s="29" t="s">
        <v>155</v>
      </c>
      <c r="N114" s="29" t="s">
        <v>739</v>
      </c>
      <c r="O114" s="146"/>
      <c r="P114" s="19" t="s">
        <v>37</v>
      </c>
    </row>
    <row r="115" spans="1:16" s="2" customFormat="1">
      <c r="A115" s="146"/>
      <c r="B115" s="29"/>
      <c r="C115" s="30" t="s">
        <v>206</v>
      </c>
      <c r="D115" s="31" t="s">
        <v>21</v>
      </c>
      <c r="E115" s="29" t="s">
        <v>44</v>
      </c>
      <c r="F115" s="29" t="s">
        <v>203</v>
      </c>
      <c r="G115" s="54">
        <v>40994</v>
      </c>
      <c r="H115" s="55">
        <f t="shared" ca="1" si="3"/>
        <v>14</v>
      </c>
      <c r="I115" s="29" t="s">
        <v>45</v>
      </c>
      <c r="J115" s="29" t="s">
        <v>25</v>
      </c>
      <c r="K115" s="29" t="s">
        <v>26</v>
      </c>
      <c r="L115" s="31" t="s">
        <v>112</v>
      </c>
      <c r="M115" s="35" t="s">
        <v>764</v>
      </c>
      <c r="N115" s="29" t="s">
        <v>741</v>
      </c>
      <c r="O115" s="146"/>
      <c r="P115" s="19" t="s">
        <v>37</v>
      </c>
    </row>
    <row r="116" spans="1:16" s="2" customFormat="1">
      <c r="A116" s="147"/>
      <c r="B116" s="35"/>
      <c r="C116" s="36" t="s">
        <v>207</v>
      </c>
      <c r="D116" s="37" t="s">
        <v>21</v>
      </c>
      <c r="E116" s="35" t="s">
        <v>44</v>
      </c>
      <c r="F116" s="35" t="s">
        <v>23</v>
      </c>
      <c r="G116" s="57">
        <v>42595</v>
      </c>
      <c r="H116" s="58">
        <f t="shared" ca="1" si="3"/>
        <v>10</v>
      </c>
      <c r="I116" s="35" t="s">
        <v>45</v>
      </c>
      <c r="J116" s="35" t="s">
        <v>25</v>
      </c>
      <c r="K116" s="35" t="s">
        <v>26</v>
      </c>
      <c r="L116" s="37" t="s">
        <v>27</v>
      </c>
      <c r="M116" s="35" t="s">
        <v>761</v>
      </c>
      <c r="N116" s="35" t="s">
        <v>741</v>
      </c>
      <c r="O116" s="147"/>
      <c r="P116" s="19" t="s">
        <v>37</v>
      </c>
    </row>
    <row r="117" spans="1:16" s="2" customFormat="1" ht="15" customHeight="1">
      <c r="A117" s="155" t="s">
        <v>208</v>
      </c>
      <c r="B117" s="99" t="s">
        <v>209</v>
      </c>
      <c r="C117" s="99" t="s">
        <v>209</v>
      </c>
      <c r="D117" s="24" t="s">
        <v>21</v>
      </c>
      <c r="E117" s="25" t="s">
        <v>22</v>
      </c>
      <c r="F117" s="32" t="s">
        <v>48</v>
      </c>
      <c r="G117" s="57">
        <v>32422</v>
      </c>
      <c r="H117" s="58">
        <f t="shared" ca="1" si="3"/>
        <v>38</v>
      </c>
      <c r="I117" s="25" t="s">
        <v>24</v>
      </c>
      <c r="J117" s="35" t="s">
        <v>25</v>
      </c>
      <c r="K117" s="35" t="s">
        <v>26</v>
      </c>
      <c r="L117" s="37" t="s">
        <v>27</v>
      </c>
      <c r="M117" s="25" t="s">
        <v>721</v>
      </c>
      <c r="N117" s="32" t="s">
        <v>738</v>
      </c>
      <c r="O117" s="145" t="s">
        <v>30</v>
      </c>
      <c r="P117" s="46" t="s">
        <v>31</v>
      </c>
    </row>
    <row r="118" spans="1:16" s="2" customFormat="1" ht="15" customHeight="1">
      <c r="A118" s="156"/>
      <c r="B118" s="99"/>
      <c r="C118" s="32" t="s">
        <v>210</v>
      </c>
      <c r="D118" s="103" t="s">
        <v>39</v>
      </c>
      <c r="E118" s="29" t="s">
        <v>40</v>
      </c>
      <c r="F118" s="32" t="s">
        <v>97</v>
      </c>
      <c r="G118" s="57">
        <v>32590</v>
      </c>
      <c r="H118" s="58">
        <f t="shared" ca="1" si="3"/>
        <v>37</v>
      </c>
      <c r="I118" s="29" t="s">
        <v>24</v>
      </c>
      <c r="J118" s="35" t="s">
        <v>25</v>
      </c>
      <c r="K118" s="35" t="s">
        <v>26</v>
      </c>
      <c r="L118" s="37" t="s">
        <v>27</v>
      </c>
      <c r="M118" s="25" t="s">
        <v>721</v>
      </c>
      <c r="N118" s="29" t="s">
        <v>739</v>
      </c>
      <c r="O118" s="146"/>
      <c r="P118" s="46" t="s">
        <v>31</v>
      </c>
    </row>
    <row r="119" spans="1:16" s="2" customFormat="1" ht="15" customHeight="1">
      <c r="A119" s="156"/>
      <c r="B119" s="99"/>
      <c r="C119" s="32" t="s">
        <v>211</v>
      </c>
      <c r="D119" s="103" t="s">
        <v>21</v>
      </c>
      <c r="E119" s="35" t="s">
        <v>44</v>
      </c>
      <c r="F119" s="32" t="s">
        <v>23</v>
      </c>
      <c r="G119" s="57">
        <v>40543</v>
      </c>
      <c r="H119" s="58">
        <f t="shared" ca="1" si="3"/>
        <v>15</v>
      </c>
      <c r="I119" s="29" t="s">
        <v>45</v>
      </c>
      <c r="J119" s="35" t="s">
        <v>25</v>
      </c>
      <c r="K119" s="35" t="s">
        <v>26</v>
      </c>
      <c r="L119" s="37" t="s">
        <v>27</v>
      </c>
      <c r="M119" s="35" t="s">
        <v>764</v>
      </c>
      <c r="N119" s="32" t="s">
        <v>741</v>
      </c>
      <c r="O119" s="146"/>
      <c r="P119" s="46" t="s">
        <v>31</v>
      </c>
    </row>
    <row r="120" spans="1:16" s="84" customFormat="1">
      <c r="A120" s="157"/>
      <c r="B120" s="101"/>
      <c r="C120" s="102" t="s">
        <v>212</v>
      </c>
      <c r="D120" s="31" t="s">
        <v>21</v>
      </c>
      <c r="E120" s="35" t="s">
        <v>44</v>
      </c>
      <c r="F120" s="102" t="s">
        <v>23</v>
      </c>
      <c r="G120" s="57">
        <v>43747</v>
      </c>
      <c r="H120" s="58">
        <f t="shared" ca="1" si="3"/>
        <v>7</v>
      </c>
      <c r="I120" s="35" t="s">
        <v>45</v>
      </c>
      <c r="J120" s="35" t="s">
        <v>25</v>
      </c>
      <c r="K120" s="35" t="s">
        <v>26</v>
      </c>
      <c r="L120" s="37" t="s">
        <v>27</v>
      </c>
      <c r="M120" s="102" t="s">
        <v>719</v>
      </c>
      <c r="N120" s="102" t="s">
        <v>731</v>
      </c>
      <c r="O120" s="147"/>
      <c r="P120" s="46" t="s">
        <v>31</v>
      </c>
    </row>
    <row r="121" spans="1:16" s="2" customFormat="1">
      <c r="A121" s="145" t="s">
        <v>213</v>
      </c>
      <c r="B121" s="38" t="s">
        <v>214</v>
      </c>
      <c r="C121" s="39" t="s">
        <v>214</v>
      </c>
      <c r="D121" s="24" t="s">
        <v>21</v>
      </c>
      <c r="E121" s="25" t="s">
        <v>22</v>
      </c>
      <c r="F121" s="25" t="s">
        <v>215</v>
      </c>
      <c r="G121" s="51">
        <v>24365</v>
      </c>
      <c r="H121" s="52">
        <f t="shared" ref="H121:H132" ca="1" si="6">INT((TODAY()-G121)/365)</f>
        <v>60</v>
      </c>
      <c r="I121" s="25" t="s">
        <v>24</v>
      </c>
      <c r="J121" s="25" t="s">
        <v>25</v>
      </c>
      <c r="K121" s="25" t="s">
        <v>26</v>
      </c>
      <c r="L121" s="24" t="s">
        <v>27</v>
      </c>
      <c r="M121" s="25" t="s">
        <v>720</v>
      </c>
      <c r="N121" s="25" t="s">
        <v>738</v>
      </c>
      <c r="O121" s="145" t="s">
        <v>36</v>
      </c>
      <c r="P121" s="19" t="s">
        <v>37</v>
      </c>
    </row>
    <row r="122" spans="1:16" s="2" customFormat="1">
      <c r="A122" s="146"/>
      <c r="B122" s="29"/>
      <c r="C122" s="30" t="s">
        <v>216</v>
      </c>
      <c r="D122" s="31" t="s">
        <v>39</v>
      </c>
      <c r="E122" s="29" t="s">
        <v>40</v>
      </c>
      <c r="F122" s="29" t="s">
        <v>217</v>
      </c>
      <c r="G122" s="54">
        <v>27890</v>
      </c>
      <c r="H122" s="55">
        <f t="shared" ca="1" si="6"/>
        <v>50</v>
      </c>
      <c r="I122" s="29" t="s">
        <v>24</v>
      </c>
      <c r="J122" s="29" t="s">
        <v>25</v>
      </c>
      <c r="K122" s="29" t="s">
        <v>26</v>
      </c>
      <c r="L122" s="31" t="s">
        <v>112</v>
      </c>
      <c r="M122" s="29" t="s">
        <v>720</v>
      </c>
      <c r="N122" s="29" t="s">
        <v>738</v>
      </c>
      <c r="O122" s="146"/>
      <c r="P122" s="19" t="s">
        <v>37</v>
      </c>
    </row>
    <row r="123" spans="1:16" s="2" customFormat="1">
      <c r="A123" s="147"/>
      <c r="B123" s="35"/>
      <c r="C123" s="36" t="s">
        <v>218</v>
      </c>
      <c r="D123" s="37" t="s">
        <v>39</v>
      </c>
      <c r="E123" s="35" t="s">
        <v>44</v>
      </c>
      <c r="F123" s="35" t="s">
        <v>23</v>
      </c>
      <c r="G123" s="57">
        <v>40282</v>
      </c>
      <c r="H123" s="55">
        <f t="shared" ca="1" si="6"/>
        <v>16</v>
      </c>
      <c r="I123" s="35" t="s">
        <v>45</v>
      </c>
      <c r="J123" s="35" t="s">
        <v>25</v>
      </c>
      <c r="K123" s="35" t="s">
        <v>26</v>
      </c>
      <c r="L123" s="37" t="s">
        <v>27</v>
      </c>
      <c r="M123" s="35" t="s">
        <v>762</v>
      </c>
      <c r="N123" s="35" t="s">
        <v>741</v>
      </c>
      <c r="O123" s="147"/>
      <c r="P123" s="19" t="s">
        <v>37</v>
      </c>
    </row>
    <row r="124" spans="1:16" s="2" customFormat="1">
      <c r="A124" s="145" t="s">
        <v>219</v>
      </c>
      <c r="B124" s="38" t="s">
        <v>220</v>
      </c>
      <c r="C124" s="38" t="s">
        <v>221</v>
      </c>
      <c r="D124" s="24" t="s">
        <v>21</v>
      </c>
      <c r="E124" s="25" t="s">
        <v>22</v>
      </c>
      <c r="F124" s="25" t="s">
        <v>23</v>
      </c>
      <c r="G124" s="51">
        <v>26631</v>
      </c>
      <c r="H124" s="52">
        <f t="shared" ca="1" si="6"/>
        <v>53</v>
      </c>
      <c r="I124" s="25" t="s">
        <v>24</v>
      </c>
      <c r="J124" s="25" t="s">
        <v>25</v>
      </c>
      <c r="K124" s="25" t="s">
        <v>26</v>
      </c>
      <c r="L124" s="24" t="s">
        <v>27</v>
      </c>
      <c r="M124" s="25" t="s">
        <v>720</v>
      </c>
      <c r="N124" s="25" t="s">
        <v>738</v>
      </c>
      <c r="O124" s="145" t="s">
        <v>36</v>
      </c>
      <c r="P124" s="19" t="s">
        <v>37</v>
      </c>
    </row>
    <row r="125" spans="1:16" s="2" customFormat="1">
      <c r="A125" s="146"/>
      <c r="B125" s="29"/>
      <c r="C125" s="29" t="s">
        <v>222</v>
      </c>
      <c r="D125" s="31" t="s">
        <v>39</v>
      </c>
      <c r="E125" s="29" t="s">
        <v>40</v>
      </c>
      <c r="F125" s="29" t="s">
        <v>23</v>
      </c>
      <c r="G125" s="54">
        <v>27748</v>
      </c>
      <c r="H125" s="55">
        <f t="shared" ca="1" si="6"/>
        <v>50</v>
      </c>
      <c r="I125" s="29" t="s">
        <v>24</v>
      </c>
      <c r="J125" s="29" t="s">
        <v>25</v>
      </c>
      <c r="K125" s="29" t="s">
        <v>26</v>
      </c>
      <c r="L125" s="31" t="s">
        <v>27</v>
      </c>
      <c r="M125" s="29" t="s">
        <v>720</v>
      </c>
      <c r="N125" s="29" t="s">
        <v>739</v>
      </c>
      <c r="O125" s="146"/>
      <c r="P125" s="19" t="s">
        <v>37</v>
      </c>
    </row>
    <row r="126" spans="1:16" s="2" customFormat="1">
      <c r="A126" s="147"/>
      <c r="B126" s="35"/>
      <c r="C126" s="35" t="s">
        <v>223</v>
      </c>
      <c r="D126" s="37" t="s">
        <v>39</v>
      </c>
      <c r="E126" s="35" t="s">
        <v>44</v>
      </c>
      <c r="F126" s="35" t="s">
        <v>23</v>
      </c>
      <c r="G126" s="57">
        <v>40282</v>
      </c>
      <c r="H126" s="58">
        <f t="shared" ca="1" si="6"/>
        <v>16</v>
      </c>
      <c r="I126" s="35" t="s">
        <v>45</v>
      </c>
      <c r="J126" s="35" t="s">
        <v>25</v>
      </c>
      <c r="K126" s="35" t="s">
        <v>26</v>
      </c>
      <c r="L126" s="37" t="s">
        <v>27</v>
      </c>
      <c r="M126" s="29" t="s">
        <v>721</v>
      </c>
      <c r="N126" s="35" t="s">
        <v>741</v>
      </c>
      <c r="O126" s="147"/>
      <c r="P126" s="19" t="s">
        <v>37</v>
      </c>
    </row>
    <row r="127" spans="1:16" s="2" customFormat="1">
      <c r="A127" s="145" t="s">
        <v>496</v>
      </c>
      <c r="B127" s="127" t="s">
        <v>523</v>
      </c>
      <c r="C127" s="127" t="s">
        <v>523</v>
      </c>
      <c r="D127" s="119" t="s">
        <v>39</v>
      </c>
      <c r="E127" s="25" t="s">
        <v>22</v>
      </c>
      <c r="F127" s="26" t="s">
        <v>101</v>
      </c>
      <c r="G127" s="57">
        <v>34033</v>
      </c>
      <c r="H127" s="58">
        <f t="shared" ca="1" si="6"/>
        <v>33</v>
      </c>
      <c r="I127" s="26" t="s">
        <v>713</v>
      </c>
      <c r="J127" s="35" t="s">
        <v>25</v>
      </c>
      <c r="K127" s="35" t="s">
        <v>26</v>
      </c>
      <c r="L127" s="119" t="s">
        <v>27</v>
      </c>
      <c r="M127" s="25" t="s">
        <v>720</v>
      </c>
      <c r="N127" s="29" t="s">
        <v>739</v>
      </c>
      <c r="O127" s="145" t="s">
        <v>30</v>
      </c>
      <c r="P127" s="19" t="s">
        <v>37</v>
      </c>
    </row>
    <row r="128" spans="1:16" s="2" customFormat="1">
      <c r="A128" s="146"/>
      <c r="B128" s="26"/>
      <c r="C128" s="26" t="s">
        <v>525</v>
      </c>
      <c r="D128" s="117" t="s">
        <v>21</v>
      </c>
      <c r="E128" s="35" t="s">
        <v>44</v>
      </c>
      <c r="F128" s="26" t="s">
        <v>101</v>
      </c>
      <c r="G128" s="57">
        <v>41794</v>
      </c>
      <c r="H128" s="58">
        <f t="shared" ca="1" si="6"/>
        <v>12</v>
      </c>
      <c r="I128" s="35" t="s">
        <v>45</v>
      </c>
      <c r="J128" s="35" t="s">
        <v>25</v>
      </c>
      <c r="K128" s="35" t="s">
        <v>26</v>
      </c>
      <c r="L128" s="119" t="s">
        <v>27</v>
      </c>
      <c r="M128" s="35" t="s">
        <v>764</v>
      </c>
      <c r="N128" s="32" t="s">
        <v>741</v>
      </c>
      <c r="O128" s="146"/>
      <c r="P128" s="19" t="s">
        <v>37</v>
      </c>
    </row>
    <row r="129" spans="1:16" s="2" customFormat="1">
      <c r="A129" s="147"/>
      <c r="B129" s="26"/>
      <c r="C129" s="26" t="s">
        <v>527</v>
      </c>
      <c r="D129" s="97" t="s">
        <v>39</v>
      </c>
      <c r="E129" s="91" t="s">
        <v>44</v>
      </c>
      <c r="F129" s="26" t="s">
        <v>23</v>
      </c>
      <c r="G129" s="57">
        <v>43451</v>
      </c>
      <c r="H129" s="58">
        <f t="shared" ca="1" si="6"/>
        <v>7</v>
      </c>
      <c r="I129" s="35" t="s">
        <v>45</v>
      </c>
      <c r="J129" s="35" t="s">
        <v>25</v>
      </c>
      <c r="K129" s="35" t="s">
        <v>26</v>
      </c>
      <c r="L129" s="119" t="s">
        <v>27</v>
      </c>
      <c r="M129" s="35" t="s">
        <v>761</v>
      </c>
      <c r="N129" s="32" t="s">
        <v>741</v>
      </c>
      <c r="O129" s="147"/>
      <c r="P129" s="19" t="s">
        <v>37</v>
      </c>
    </row>
    <row r="130" spans="1:16" s="2" customFormat="1">
      <c r="A130" s="72" t="s">
        <v>504</v>
      </c>
      <c r="B130" s="68"/>
      <c r="C130" s="68"/>
      <c r="D130" s="66"/>
      <c r="E130" s="68"/>
      <c r="F130" s="68"/>
      <c r="G130" s="129"/>
      <c r="H130" s="92"/>
      <c r="I130" s="96"/>
      <c r="J130" s="130"/>
      <c r="K130" s="130"/>
      <c r="L130" s="131"/>
      <c r="M130" s="66"/>
      <c r="N130" s="96"/>
      <c r="O130" s="72" t="s">
        <v>58</v>
      </c>
      <c r="P130" s="68"/>
    </row>
    <row r="131" spans="1:16" s="2" customFormat="1" ht="15" customHeight="1">
      <c r="A131" s="155" t="s">
        <v>224</v>
      </c>
      <c r="B131" s="39" t="s">
        <v>225</v>
      </c>
      <c r="C131" s="39" t="s">
        <v>225</v>
      </c>
      <c r="D131" s="24" t="s">
        <v>21</v>
      </c>
      <c r="E131" s="25" t="s">
        <v>22</v>
      </c>
      <c r="F131" s="20" t="s">
        <v>226</v>
      </c>
      <c r="G131" s="57">
        <v>32048</v>
      </c>
      <c r="H131" s="58">
        <f t="shared" ca="1" si="6"/>
        <v>39</v>
      </c>
      <c r="I131" s="25" t="s">
        <v>24</v>
      </c>
      <c r="J131" s="35" t="s">
        <v>25</v>
      </c>
      <c r="K131" s="35" t="s">
        <v>26</v>
      </c>
      <c r="L131" s="37" t="s">
        <v>27</v>
      </c>
      <c r="M131" s="29" t="s">
        <v>720</v>
      </c>
      <c r="N131" s="20" t="s">
        <v>740</v>
      </c>
      <c r="O131" s="145" t="s">
        <v>30</v>
      </c>
      <c r="P131" s="19" t="s">
        <v>37</v>
      </c>
    </row>
    <row r="132" spans="1:16" s="84" customFormat="1">
      <c r="A132" s="157"/>
      <c r="B132" s="101"/>
      <c r="C132" s="102" t="s">
        <v>227</v>
      </c>
      <c r="D132" s="31" t="s">
        <v>39</v>
      </c>
      <c r="E132" s="29" t="s">
        <v>40</v>
      </c>
      <c r="F132" s="102" t="s">
        <v>23</v>
      </c>
      <c r="G132" s="57">
        <v>36122</v>
      </c>
      <c r="H132" s="58">
        <f t="shared" ca="1" si="6"/>
        <v>27</v>
      </c>
      <c r="I132" s="29" t="s">
        <v>24</v>
      </c>
      <c r="J132" s="35" t="s">
        <v>25</v>
      </c>
      <c r="K132" s="35" t="s">
        <v>26</v>
      </c>
      <c r="L132" s="37" t="s">
        <v>27</v>
      </c>
      <c r="M132" s="29" t="s">
        <v>720</v>
      </c>
      <c r="N132" s="35" t="s">
        <v>738</v>
      </c>
      <c r="O132" s="147"/>
      <c r="P132" s="19" t="s">
        <v>37</v>
      </c>
    </row>
    <row r="133" spans="1:16" s="2" customFormat="1">
      <c r="A133" s="145" t="s">
        <v>228</v>
      </c>
      <c r="B133" s="128" t="s">
        <v>732</v>
      </c>
      <c r="C133" s="128" t="s">
        <v>732</v>
      </c>
      <c r="D133" s="24" t="s">
        <v>21</v>
      </c>
      <c r="E133" s="25" t="s">
        <v>22</v>
      </c>
      <c r="F133" s="25" t="s">
        <v>101</v>
      </c>
      <c r="G133" s="51">
        <v>30951</v>
      </c>
      <c r="H133" s="52">
        <f t="shared" ca="1" si="3"/>
        <v>42</v>
      </c>
      <c r="I133" s="25" t="s">
        <v>24</v>
      </c>
      <c r="J133" s="25" t="s">
        <v>25</v>
      </c>
      <c r="K133" s="25" t="s">
        <v>26</v>
      </c>
      <c r="L133" s="24" t="s">
        <v>27</v>
      </c>
      <c r="M133" s="32" t="s">
        <v>98</v>
      </c>
      <c r="N133" s="35" t="s">
        <v>738</v>
      </c>
      <c r="O133" s="145" t="s">
        <v>30</v>
      </c>
      <c r="P133" s="19" t="s">
        <v>37</v>
      </c>
    </row>
    <row r="134" spans="1:16" s="2" customFormat="1">
      <c r="A134" s="146"/>
      <c r="B134" s="29"/>
      <c r="C134" s="30" t="s">
        <v>733</v>
      </c>
      <c r="D134" s="31" t="s">
        <v>39</v>
      </c>
      <c r="E134" s="29" t="s">
        <v>40</v>
      </c>
      <c r="F134" s="29" t="s">
        <v>97</v>
      </c>
      <c r="G134" s="54">
        <v>30389</v>
      </c>
      <c r="H134" s="55">
        <f t="shared" ca="1" si="3"/>
        <v>43</v>
      </c>
      <c r="I134" s="29" t="s">
        <v>24</v>
      </c>
      <c r="J134" s="29" t="s">
        <v>25</v>
      </c>
      <c r="K134" s="29" t="s">
        <v>26</v>
      </c>
      <c r="L134" s="31" t="s">
        <v>27</v>
      </c>
      <c r="M134" s="25" t="s">
        <v>720</v>
      </c>
      <c r="N134" s="29" t="s">
        <v>739</v>
      </c>
      <c r="O134" s="146"/>
      <c r="P134" s="19" t="s">
        <v>37</v>
      </c>
    </row>
    <row r="135" spans="1:16" s="2" customFormat="1">
      <c r="A135" s="146"/>
      <c r="B135" s="91"/>
      <c r="C135" s="36" t="s">
        <v>734</v>
      </c>
      <c r="D135" s="97" t="s">
        <v>39</v>
      </c>
      <c r="E135" s="35" t="s">
        <v>44</v>
      </c>
      <c r="F135" s="35" t="s">
        <v>23</v>
      </c>
      <c r="G135" s="98">
        <v>39543</v>
      </c>
      <c r="H135" s="104">
        <f t="shared" ca="1" si="3"/>
        <v>18</v>
      </c>
      <c r="I135" s="35" t="s">
        <v>45</v>
      </c>
      <c r="J135" s="29" t="s">
        <v>25</v>
      </c>
      <c r="K135" s="29" t="s">
        <v>26</v>
      </c>
      <c r="L135" s="118" t="s">
        <v>27</v>
      </c>
      <c r="M135" s="25" t="s">
        <v>720</v>
      </c>
      <c r="N135" s="35" t="s">
        <v>741</v>
      </c>
      <c r="O135" s="146"/>
      <c r="P135" s="19" t="s">
        <v>37</v>
      </c>
    </row>
    <row r="136" spans="1:16" s="2" customFormat="1">
      <c r="A136" s="146"/>
      <c r="B136" s="91"/>
      <c r="C136" s="36" t="s">
        <v>735</v>
      </c>
      <c r="D136" s="117" t="s">
        <v>21</v>
      </c>
      <c r="E136" s="35" t="s">
        <v>44</v>
      </c>
      <c r="F136" s="35" t="s">
        <v>23</v>
      </c>
      <c r="G136" s="98">
        <v>42258</v>
      </c>
      <c r="H136" s="104">
        <f t="shared" ca="1" si="3"/>
        <v>11</v>
      </c>
      <c r="I136" s="35" t="s">
        <v>45</v>
      </c>
      <c r="J136" s="29" t="s">
        <v>25</v>
      </c>
      <c r="K136" s="29" t="s">
        <v>26</v>
      </c>
      <c r="L136" s="118" t="s">
        <v>27</v>
      </c>
      <c r="M136" s="35" t="s">
        <v>764</v>
      </c>
      <c r="N136" s="35" t="s">
        <v>741</v>
      </c>
      <c r="O136" s="146"/>
      <c r="P136" s="19" t="s">
        <v>37</v>
      </c>
    </row>
    <row r="137" spans="1:16" s="2" customFormat="1">
      <c r="A137" s="147"/>
      <c r="B137" s="35"/>
      <c r="C137" s="36" t="s">
        <v>736</v>
      </c>
      <c r="D137" s="37" t="s">
        <v>21</v>
      </c>
      <c r="E137" s="35" t="s">
        <v>44</v>
      </c>
      <c r="F137" s="35" t="s">
        <v>23</v>
      </c>
      <c r="G137" s="57">
        <v>45361</v>
      </c>
      <c r="H137" s="58">
        <f t="shared" ca="1" si="3"/>
        <v>2</v>
      </c>
      <c r="I137" s="35" t="s">
        <v>45</v>
      </c>
      <c r="J137" s="35" t="s">
        <v>25</v>
      </c>
      <c r="K137" s="35" t="s">
        <v>26</v>
      </c>
      <c r="L137" s="37" t="s">
        <v>27</v>
      </c>
      <c r="M137" s="35" t="s">
        <v>719</v>
      </c>
      <c r="N137" s="29" t="s">
        <v>731</v>
      </c>
      <c r="O137" s="147"/>
      <c r="P137" s="19" t="s">
        <v>37</v>
      </c>
    </row>
    <row r="138" spans="1:16" s="2" customFormat="1">
      <c r="A138" s="120" t="s">
        <v>518</v>
      </c>
      <c r="B138" s="135" t="s">
        <v>756</v>
      </c>
      <c r="C138" s="135" t="s">
        <v>756</v>
      </c>
      <c r="D138" s="123" t="s">
        <v>21</v>
      </c>
      <c r="E138" s="25" t="s">
        <v>22</v>
      </c>
      <c r="F138" s="136" t="s">
        <v>101</v>
      </c>
      <c r="G138" s="143">
        <v>39103</v>
      </c>
      <c r="H138" s="144">
        <f t="shared" ca="1" si="3"/>
        <v>19</v>
      </c>
      <c r="I138" s="35" t="s">
        <v>45</v>
      </c>
      <c r="J138" s="35" t="s">
        <v>25</v>
      </c>
      <c r="K138" s="35" t="s">
        <v>26</v>
      </c>
      <c r="L138" s="123" t="s">
        <v>27</v>
      </c>
      <c r="M138" s="25" t="s">
        <v>720</v>
      </c>
      <c r="N138" s="126" t="s">
        <v>737</v>
      </c>
      <c r="O138" s="120" t="s">
        <v>30</v>
      </c>
      <c r="P138" s="46" t="s">
        <v>31</v>
      </c>
    </row>
    <row r="139" spans="1:16" s="2" customFormat="1">
      <c r="A139" s="148" t="s">
        <v>528</v>
      </c>
      <c r="B139" s="137" t="s">
        <v>752</v>
      </c>
      <c r="C139" s="140" t="s">
        <v>752</v>
      </c>
      <c r="D139" s="121" t="s">
        <v>21</v>
      </c>
      <c r="E139" s="25" t="s">
        <v>22</v>
      </c>
      <c r="F139" s="136" t="s">
        <v>215</v>
      </c>
      <c r="G139" s="143">
        <v>36197</v>
      </c>
      <c r="H139" s="58">
        <f t="shared" ca="1" si="3"/>
        <v>27</v>
      </c>
      <c r="I139" s="25" t="s">
        <v>24</v>
      </c>
      <c r="J139" s="25" t="s">
        <v>25</v>
      </c>
      <c r="K139" s="25" t="s">
        <v>26</v>
      </c>
      <c r="L139" s="121" t="s">
        <v>27</v>
      </c>
      <c r="M139" s="29" t="s">
        <v>720</v>
      </c>
      <c r="N139" s="126" t="s">
        <v>737</v>
      </c>
      <c r="O139" s="145" t="s">
        <v>30</v>
      </c>
      <c r="P139" s="46" t="s">
        <v>31</v>
      </c>
    </row>
    <row r="140" spans="1:16" s="2" customFormat="1">
      <c r="A140" s="148"/>
      <c r="B140" s="138"/>
      <c r="C140" s="141" t="s">
        <v>753</v>
      </c>
      <c r="D140" s="122" t="s">
        <v>39</v>
      </c>
      <c r="E140" s="29" t="s">
        <v>40</v>
      </c>
      <c r="F140" s="136" t="s">
        <v>215</v>
      </c>
      <c r="G140" s="143">
        <v>36708</v>
      </c>
      <c r="H140" s="58">
        <f t="shared" ca="1" si="3"/>
        <v>26</v>
      </c>
      <c r="I140" s="29" t="s">
        <v>24</v>
      </c>
      <c r="J140" s="29" t="s">
        <v>25</v>
      </c>
      <c r="K140" s="29" t="s">
        <v>26</v>
      </c>
      <c r="L140" s="122" t="s">
        <v>27</v>
      </c>
      <c r="M140" s="25" t="s">
        <v>721</v>
      </c>
      <c r="N140" s="29" t="s">
        <v>739</v>
      </c>
      <c r="O140" s="146"/>
      <c r="P140" s="46" t="s">
        <v>31</v>
      </c>
    </row>
    <row r="141" spans="1:16" s="2" customFormat="1">
      <c r="A141" s="148"/>
      <c r="B141" s="139"/>
      <c r="C141" s="142" t="s">
        <v>754</v>
      </c>
      <c r="D141" s="97" t="s">
        <v>39</v>
      </c>
      <c r="E141" s="35" t="s">
        <v>44</v>
      </c>
      <c r="F141" s="136" t="s">
        <v>755</v>
      </c>
      <c r="G141" s="143">
        <v>45621</v>
      </c>
      <c r="H141" s="58">
        <f t="shared" ca="1" si="3"/>
        <v>1</v>
      </c>
      <c r="I141" s="35" t="s">
        <v>45</v>
      </c>
      <c r="J141" s="29" t="s">
        <v>25</v>
      </c>
      <c r="K141" s="29" t="s">
        <v>26</v>
      </c>
      <c r="L141" s="122" t="s">
        <v>27</v>
      </c>
      <c r="M141" s="35" t="s">
        <v>719</v>
      </c>
      <c r="N141" s="29" t="s">
        <v>731</v>
      </c>
      <c r="O141" s="147"/>
      <c r="P141" s="46" t="s">
        <v>31</v>
      </c>
    </row>
    <row r="142" spans="1:16" s="2" customFormat="1" ht="13.5" customHeight="1">
      <c r="A142" s="116" t="s">
        <v>540</v>
      </c>
      <c r="B142" s="127" t="s">
        <v>744</v>
      </c>
      <c r="C142" s="127" t="s">
        <v>744</v>
      </c>
      <c r="D142" s="117" t="s">
        <v>21</v>
      </c>
      <c r="E142" s="25" t="s">
        <v>22</v>
      </c>
      <c r="F142" s="26" t="s">
        <v>97</v>
      </c>
      <c r="G142" s="124">
        <v>33231</v>
      </c>
      <c r="H142" s="58">
        <f t="shared" ref="H142:H148" ca="1" si="7">INT((TODAY()-G142)/365)</f>
        <v>35</v>
      </c>
      <c r="I142" s="25" t="s">
        <v>24</v>
      </c>
      <c r="J142" s="35" t="s">
        <v>25</v>
      </c>
      <c r="K142" s="35" t="s">
        <v>26</v>
      </c>
      <c r="L142" s="119" t="s">
        <v>27</v>
      </c>
      <c r="M142" s="25" t="s">
        <v>721</v>
      </c>
      <c r="N142" s="20" t="s">
        <v>740</v>
      </c>
      <c r="O142" s="146" t="s">
        <v>36</v>
      </c>
      <c r="P142" s="19" t="s">
        <v>37</v>
      </c>
    </row>
    <row r="143" spans="1:16" s="2" customFormat="1" ht="13.5" customHeight="1">
      <c r="A143" s="116"/>
      <c r="B143" s="26"/>
      <c r="C143" s="134" t="s">
        <v>745</v>
      </c>
      <c r="D143" s="118" t="s">
        <v>39</v>
      </c>
      <c r="E143" s="29" t="s">
        <v>40</v>
      </c>
      <c r="F143" s="26" t="s">
        <v>23</v>
      </c>
      <c r="G143" s="124">
        <v>34979</v>
      </c>
      <c r="H143" s="58">
        <f t="shared" ca="1" si="7"/>
        <v>31</v>
      </c>
      <c r="I143" s="29" t="s">
        <v>24</v>
      </c>
      <c r="J143" s="35" t="s">
        <v>25</v>
      </c>
      <c r="K143" s="35" t="s">
        <v>26</v>
      </c>
      <c r="L143" s="119" t="s">
        <v>27</v>
      </c>
      <c r="M143" s="25" t="s">
        <v>721</v>
      </c>
      <c r="N143" s="29" t="s">
        <v>739</v>
      </c>
      <c r="O143" s="146"/>
      <c r="P143" s="19" t="s">
        <v>37</v>
      </c>
    </row>
    <row r="144" spans="1:16" s="2" customFormat="1" ht="13.5" customHeight="1">
      <c r="A144" s="116"/>
      <c r="B144" s="26"/>
      <c r="C144" s="134" t="s">
        <v>746</v>
      </c>
      <c r="D144" s="97" t="s">
        <v>39</v>
      </c>
      <c r="E144" s="35" t="s">
        <v>44</v>
      </c>
      <c r="F144" s="26" t="s">
        <v>48</v>
      </c>
      <c r="G144" s="124">
        <v>43989</v>
      </c>
      <c r="H144" s="58">
        <f t="shared" ca="1" si="7"/>
        <v>6</v>
      </c>
      <c r="I144" s="35" t="s">
        <v>45</v>
      </c>
      <c r="J144" s="29" t="s">
        <v>25</v>
      </c>
      <c r="K144" s="29" t="s">
        <v>26</v>
      </c>
      <c r="L144" s="118" t="s">
        <v>27</v>
      </c>
      <c r="M144" s="35" t="s">
        <v>719</v>
      </c>
      <c r="N144" s="29" t="s">
        <v>731</v>
      </c>
      <c r="O144" s="146"/>
      <c r="P144" s="19" t="s">
        <v>37</v>
      </c>
    </row>
    <row r="145" spans="1:16" s="2" customFormat="1" ht="13.5" customHeight="1">
      <c r="A145" s="116"/>
      <c r="B145" s="26"/>
      <c r="C145" s="134" t="s">
        <v>747</v>
      </c>
      <c r="D145" s="117" t="s">
        <v>21</v>
      </c>
      <c r="E145" s="25" t="s">
        <v>22</v>
      </c>
      <c r="F145" s="26" t="s">
        <v>187</v>
      </c>
      <c r="G145" s="124">
        <v>23230</v>
      </c>
      <c r="H145" s="58">
        <f t="shared" ca="1" si="7"/>
        <v>63</v>
      </c>
      <c r="I145" s="25" t="s">
        <v>24</v>
      </c>
      <c r="J145" s="35" t="s">
        <v>25</v>
      </c>
      <c r="K145" s="35" t="s">
        <v>26</v>
      </c>
      <c r="L145" s="119" t="s">
        <v>27</v>
      </c>
      <c r="M145" s="32" t="s">
        <v>98</v>
      </c>
      <c r="N145" s="126" t="s">
        <v>737</v>
      </c>
      <c r="O145" s="146"/>
      <c r="P145" s="19" t="s">
        <v>37</v>
      </c>
    </row>
    <row r="146" spans="1:16" s="2" customFormat="1" ht="13.5" customHeight="1">
      <c r="A146" s="116"/>
      <c r="B146" s="26"/>
      <c r="C146" s="134" t="s">
        <v>748</v>
      </c>
      <c r="D146" s="118" t="s">
        <v>39</v>
      </c>
      <c r="E146" s="29" t="s">
        <v>40</v>
      </c>
      <c r="F146" s="26" t="s">
        <v>751</v>
      </c>
      <c r="G146" s="124">
        <v>27706</v>
      </c>
      <c r="H146" s="58">
        <f t="shared" ca="1" si="7"/>
        <v>50</v>
      </c>
      <c r="I146" s="29" t="s">
        <v>24</v>
      </c>
      <c r="J146" s="35" t="s">
        <v>25</v>
      </c>
      <c r="K146" s="35" t="s">
        <v>26</v>
      </c>
      <c r="L146" s="119" t="s">
        <v>27</v>
      </c>
      <c r="M146" s="32" t="s">
        <v>98</v>
      </c>
      <c r="N146" s="29" t="s">
        <v>739</v>
      </c>
      <c r="O146" s="146"/>
      <c r="P146" s="19" t="s">
        <v>37</v>
      </c>
    </row>
    <row r="147" spans="1:16" s="2" customFormat="1" ht="13.5" customHeight="1">
      <c r="A147" s="116"/>
      <c r="B147" s="26"/>
      <c r="C147" s="134" t="s">
        <v>749</v>
      </c>
      <c r="D147" s="117" t="s">
        <v>21</v>
      </c>
      <c r="E147" s="35" t="s">
        <v>44</v>
      </c>
      <c r="F147" s="26" t="s">
        <v>187</v>
      </c>
      <c r="G147" s="124">
        <v>36914</v>
      </c>
      <c r="H147" s="58">
        <f t="shared" ca="1" si="7"/>
        <v>25</v>
      </c>
      <c r="I147" s="35" t="s">
        <v>45</v>
      </c>
      <c r="J147" s="29" t="s">
        <v>25</v>
      </c>
      <c r="K147" s="29" t="s">
        <v>26</v>
      </c>
      <c r="L147" s="118" t="s">
        <v>27</v>
      </c>
      <c r="M147" s="29" t="s">
        <v>720</v>
      </c>
      <c r="N147" s="29" t="s">
        <v>731</v>
      </c>
      <c r="O147" s="146"/>
      <c r="P147" s="19" t="s">
        <v>37</v>
      </c>
    </row>
    <row r="148" spans="1:16" s="2" customFormat="1" ht="13.5" customHeight="1">
      <c r="A148" s="116"/>
      <c r="B148" s="26"/>
      <c r="C148" s="134" t="s">
        <v>750</v>
      </c>
      <c r="D148" s="117" t="s">
        <v>21</v>
      </c>
      <c r="E148" s="35" t="s">
        <v>44</v>
      </c>
      <c r="F148" s="26" t="s">
        <v>187</v>
      </c>
      <c r="G148" s="124">
        <v>40647</v>
      </c>
      <c r="H148" s="58">
        <f t="shared" ca="1" si="7"/>
        <v>15</v>
      </c>
      <c r="I148" s="35" t="s">
        <v>45</v>
      </c>
      <c r="J148" s="29" t="s">
        <v>25</v>
      </c>
      <c r="K148" s="29" t="s">
        <v>26</v>
      </c>
      <c r="L148" s="118" t="s">
        <v>27</v>
      </c>
      <c r="M148" s="29" t="s">
        <v>762</v>
      </c>
      <c r="N148" s="126" t="s">
        <v>741</v>
      </c>
      <c r="O148" s="147"/>
      <c r="P148" s="19" t="s">
        <v>37</v>
      </c>
    </row>
    <row r="149" spans="1:16" s="2" customFormat="1">
      <c r="A149" s="145" t="s">
        <v>233</v>
      </c>
      <c r="B149" s="38" t="s">
        <v>234</v>
      </c>
      <c r="C149" s="38" t="s">
        <v>234</v>
      </c>
      <c r="D149" s="24" t="s">
        <v>21</v>
      </c>
      <c r="E149" s="25" t="s">
        <v>22</v>
      </c>
      <c r="F149" s="25" t="s">
        <v>23</v>
      </c>
      <c r="G149" s="51">
        <v>27080</v>
      </c>
      <c r="H149" s="52">
        <f t="shared" ref="H149:H158" ca="1" si="8">INT((TODAY()-G149)/365)</f>
        <v>52</v>
      </c>
      <c r="I149" s="25" t="s">
        <v>24</v>
      </c>
      <c r="J149" s="25" t="s">
        <v>25</v>
      </c>
      <c r="K149" s="25" t="s">
        <v>26</v>
      </c>
      <c r="L149" s="24" t="s">
        <v>27</v>
      </c>
      <c r="M149" s="25" t="s">
        <v>720</v>
      </c>
      <c r="N149" s="25" t="s">
        <v>738</v>
      </c>
      <c r="O149" s="145" t="s">
        <v>36</v>
      </c>
      <c r="P149" s="19" t="s">
        <v>37</v>
      </c>
    </row>
    <row r="150" spans="1:16" s="2" customFormat="1">
      <c r="A150" s="146"/>
      <c r="B150" s="29"/>
      <c r="C150" s="29" t="s">
        <v>235</v>
      </c>
      <c r="D150" s="31" t="s">
        <v>39</v>
      </c>
      <c r="E150" s="29" t="s">
        <v>40</v>
      </c>
      <c r="F150" s="29" t="s">
        <v>119</v>
      </c>
      <c r="G150" s="54">
        <v>27694</v>
      </c>
      <c r="H150" s="55">
        <f t="shared" ca="1" si="8"/>
        <v>50</v>
      </c>
      <c r="I150" s="29" t="s">
        <v>24</v>
      </c>
      <c r="J150" s="29" t="s">
        <v>25</v>
      </c>
      <c r="K150" s="29" t="s">
        <v>26</v>
      </c>
      <c r="L150" s="31" t="s">
        <v>27</v>
      </c>
      <c r="M150" s="29" t="s">
        <v>126</v>
      </c>
      <c r="N150" s="29" t="s">
        <v>739</v>
      </c>
      <c r="O150" s="146"/>
      <c r="P150" s="19" t="s">
        <v>37</v>
      </c>
    </row>
    <row r="151" spans="1:16" s="2" customFormat="1">
      <c r="A151" s="147"/>
      <c r="B151" s="35"/>
      <c r="C151" s="35" t="s">
        <v>237</v>
      </c>
      <c r="D151" s="37" t="s">
        <v>21</v>
      </c>
      <c r="E151" s="35" t="s">
        <v>44</v>
      </c>
      <c r="F151" s="35" t="s">
        <v>23</v>
      </c>
      <c r="G151" s="57">
        <v>38085</v>
      </c>
      <c r="H151" s="58">
        <f t="shared" ca="1" si="8"/>
        <v>22</v>
      </c>
      <c r="I151" s="35" t="s">
        <v>45</v>
      </c>
      <c r="J151" s="35" t="s">
        <v>25</v>
      </c>
      <c r="K151" s="35" t="s">
        <v>26</v>
      </c>
      <c r="L151" s="37" t="s">
        <v>27</v>
      </c>
      <c r="M151" s="35" t="s">
        <v>763</v>
      </c>
      <c r="N151" s="35" t="s">
        <v>741</v>
      </c>
      <c r="O151" s="146"/>
      <c r="P151" s="19" t="s">
        <v>37</v>
      </c>
    </row>
    <row r="152" spans="1:16" s="2" customFormat="1">
      <c r="A152" s="105" t="s">
        <v>238</v>
      </c>
      <c r="B152" s="66"/>
      <c r="C152" s="90"/>
      <c r="D152" s="66"/>
      <c r="E152" s="66" t="s">
        <v>172</v>
      </c>
      <c r="F152" s="66" t="s">
        <v>172</v>
      </c>
      <c r="G152" s="66" t="s">
        <v>172</v>
      </c>
      <c r="H152" s="66"/>
      <c r="I152" s="66" t="s">
        <v>172</v>
      </c>
      <c r="J152" s="66" t="s">
        <v>172</v>
      </c>
      <c r="K152" s="66" t="s">
        <v>172</v>
      </c>
      <c r="L152" s="66" t="s">
        <v>172</v>
      </c>
      <c r="M152" s="66" t="s">
        <v>172</v>
      </c>
      <c r="N152" s="66" t="s">
        <v>172</v>
      </c>
      <c r="O152" s="64" t="s">
        <v>58</v>
      </c>
      <c r="P152" s="68"/>
    </row>
    <row r="153" spans="1:16" s="2" customFormat="1">
      <c r="A153" s="145" t="s">
        <v>239</v>
      </c>
      <c r="B153" s="38" t="s">
        <v>240</v>
      </c>
      <c r="C153" s="38" t="s">
        <v>240</v>
      </c>
      <c r="D153" s="24" t="s">
        <v>21</v>
      </c>
      <c r="E153" s="25" t="s">
        <v>22</v>
      </c>
      <c r="F153" s="25" t="s">
        <v>97</v>
      </c>
      <c r="G153" s="51">
        <v>27486</v>
      </c>
      <c r="H153" s="52">
        <f t="shared" ca="1" si="8"/>
        <v>51</v>
      </c>
      <c r="I153" s="25" t="s">
        <v>24</v>
      </c>
      <c r="J153" s="25" t="s">
        <v>25</v>
      </c>
      <c r="K153" s="25" t="s">
        <v>26</v>
      </c>
      <c r="L153" s="24" t="s">
        <v>27</v>
      </c>
      <c r="M153" s="25" t="s">
        <v>720</v>
      </c>
      <c r="N153" s="25" t="s">
        <v>738</v>
      </c>
      <c r="O153" s="145" t="s">
        <v>36</v>
      </c>
      <c r="P153" s="19" t="s">
        <v>37</v>
      </c>
    </row>
    <row r="154" spans="1:16" s="2" customFormat="1">
      <c r="A154" s="146"/>
      <c r="B154" s="29"/>
      <c r="C154" s="29" t="s">
        <v>241</v>
      </c>
      <c r="D154" s="31" t="s">
        <v>39</v>
      </c>
      <c r="E154" s="29" t="s">
        <v>40</v>
      </c>
      <c r="F154" s="29" t="s">
        <v>23</v>
      </c>
      <c r="G154" s="54">
        <v>28451</v>
      </c>
      <c r="H154" s="55">
        <f t="shared" ca="1" si="8"/>
        <v>48</v>
      </c>
      <c r="I154" s="29" t="s">
        <v>24</v>
      </c>
      <c r="J154" s="29" t="s">
        <v>25</v>
      </c>
      <c r="K154" s="29" t="s">
        <v>26</v>
      </c>
      <c r="L154" s="31" t="s">
        <v>27</v>
      </c>
      <c r="M154" s="29" t="s">
        <v>720</v>
      </c>
      <c r="N154" s="29" t="s">
        <v>739</v>
      </c>
      <c r="O154" s="146"/>
      <c r="P154" s="19" t="s">
        <v>37</v>
      </c>
    </row>
    <row r="155" spans="1:16" s="2" customFormat="1">
      <c r="A155" s="146"/>
      <c r="B155" s="29"/>
      <c r="C155" s="29" t="s">
        <v>242</v>
      </c>
      <c r="D155" s="31" t="s">
        <v>39</v>
      </c>
      <c r="E155" s="29" t="s">
        <v>44</v>
      </c>
      <c r="F155" s="29" t="s">
        <v>23</v>
      </c>
      <c r="G155" s="54">
        <v>38313</v>
      </c>
      <c r="H155" s="55">
        <f t="shared" ca="1" si="8"/>
        <v>21</v>
      </c>
      <c r="I155" s="29" t="s">
        <v>45</v>
      </c>
      <c r="J155" s="29" t="s">
        <v>25</v>
      </c>
      <c r="K155" s="29" t="s">
        <v>26</v>
      </c>
      <c r="L155" s="31" t="s">
        <v>27</v>
      </c>
      <c r="M155" s="29" t="s">
        <v>763</v>
      </c>
      <c r="N155" s="29" t="s">
        <v>741</v>
      </c>
      <c r="O155" s="146"/>
      <c r="P155" s="19" t="s">
        <v>37</v>
      </c>
    </row>
    <row r="156" spans="1:16" s="2" customFormat="1">
      <c r="A156" s="146"/>
      <c r="B156" s="35"/>
      <c r="C156" s="35" t="s">
        <v>243</v>
      </c>
      <c r="D156" s="37" t="s">
        <v>39</v>
      </c>
      <c r="E156" s="35" t="s">
        <v>44</v>
      </c>
      <c r="F156" s="35" t="s">
        <v>23</v>
      </c>
      <c r="G156" s="57">
        <v>39422</v>
      </c>
      <c r="H156" s="58">
        <f t="shared" ca="1" si="8"/>
        <v>18</v>
      </c>
      <c r="I156" s="35" t="s">
        <v>45</v>
      </c>
      <c r="J156" s="35" t="s">
        <v>25</v>
      </c>
      <c r="K156" s="35" t="s">
        <v>26</v>
      </c>
      <c r="L156" s="37" t="s">
        <v>27</v>
      </c>
      <c r="M156" s="29" t="s">
        <v>721</v>
      </c>
      <c r="N156" s="35" t="s">
        <v>741</v>
      </c>
      <c r="O156" s="146"/>
      <c r="P156" s="19" t="s">
        <v>37</v>
      </c>
    </row>
    <row r="157" spans="1:16" s="2" customFormat="1">
      <c r="A157" s="146"/>
      <c r="B157" s="26"/>
      <c r="C157" s="38" t="s">
        <v>229</v>
      </c>
      <c r="D157" s="117" t="s">
        <v>21</v>
      </c>
      <c r="E157" s="25" t="s">
        <v>22</v>
      </c>
      <c r="F157" s="25" t="s">
        <v>23</v>
      </c>
      <c r="G157" s="51">
        <v>34706</v>
      </c>
      <c r="H157" s="52">
        <f t="shared" ca="1" si="8"/>
        <v>31</v>
      </c>
      <c r="I157" s="25" t="s">
        <v>24</v>
      </c>
      <c r="J157" s="25" t="s">
        <v>25</v>
      </c>
      <c r="K157" s="25" t="s">
        <v>26</v>
      </c>
      <c r="L157" s="117" t="s">
        <v>27</v>
      </c>
      <c r="M157" s="29" t="s">
        <v>720</v>
      </c>
      <c r="N157" s="35" t="s">
        <v>738</v>
      </c>
      <c r="O157" s="146"/>
      <c r="P157" s="19" t="s">
        <v>37</v>
      </c>
    </row>
    <row r="158" spans="1:16" s="2" customFormat="1">
      <c r="A158" s="146"/>
      <c r="B158" s="26"/>
      <c r="C158" s="30" t="s">
        <v>230</v>
      </c>
      <c r="D158" s="118" t="s">
        <v>39</v>
      </c>
      <c r="E158" s="29" t="s">
        <v>40</v>
      </c>
      <c r="F158" s="29" t="s">
        <v>23</v>
      </c>
      <c r="G158" s="54">
        <v>36631</v>
      </c>
      <c r="H158" s="55">
        <f t="shared" ca="1" si="8"/>
        <v>26</v>
      </c>
      <c r="I158" s="29" t="s">
        <v>24</v>
      </c>
      <c r="J158" s="29" t="s">
        <v>25</v>
      </c>
      <c r="K158" s="29" t="s">
        <v>26</v>
      </c>
      <c r="L158" s="118" t="s">
        <v>27</v>
      </c>
      <c r="M158" s="29" t="s">
        <v>720</v>
      </c>
      <c r="N158" s="29" t="s">
        <v>739</v>
      </c>
      <c r="O158" s="146"/>
      <c r="P158" s="19" t="s">
        <v>37</v>
      </c>
    </row>
    <row r="159" spans="1:16" s="2" customFormat="1">
      <c r="A159" s="146"/>
      <c r="B159" s="26"/>
      <c r="C159" s="36" t="s">
        <v>231</v>
      </c>
      <c r="D159" s="97" t="s">
        <v>39</v>
      </c>
      <c r="E159" s="35" t="s">
        <v>44</v>
      </c>
      <c r="F159" s="29" t="s">
        <v>23</v>
      </c>
      <c r="G159" s="98"/>
      <c r="H159" s="104"/>
      <c r="I159" s="35" t="s">
        <v>45</v>
      </c>
      <c r="J159" s="29" t="s">
        <v>25</v>
      </c>
      <c r="K159" s="29" t="s">
        <v>26</v>
      </c>
      <c r="L159" s="118" t="s">
        <v>27</v>
      </c>
      <c r="M159" s="35" t="s">
        <v>719</v>
      </c>
      <c r="N159" s="29" t="s">
        <v>731</v>
      </c>
      <c r="O159" s="146"/>
      <c r="P159" s="19" t="s">
        <v>37</v>
      </c>
    </row>
    <row r="160" spans="1:16" s="2" customFormat="1">
      <c r="A160" s="147"/>
      <c r="B160" s="26"/>
      <c r="C160" s="36" t="s">
        <v>232</v>
      </c>
      <c r="D160" s="119" t="s">
        <v>21</v>
      </c>
      <c r="E160" s="35" t="s">
        <v>44</v>
      </c>
      <c r="F160" s="35" t="s">
        <v>23</v>
      </c>
      <c r="G160" s="57">
        <v>44093</v>
      </c>
      <c r="H160" s="58">
        <f t="shared" ref="H160" ca="1" si="9">INT((TODAY()-G160)/365)</f>
        <v>6</v>
      </c>
      <c r="I160" s="35" t="s">
        <v>45</v>
      </c>
      <c r="J160" s="35" t="s">
        <v>25</v>
      </c>
      <c r="K160" s="35" t="s">
        <v>26</v>
      </c>
      <c r="L160" s="119" t="s">
        <v>27</v>
      </c>
      <c r="M160" s="35" t="s">
        <v>719</v>
      </c>
      <c r="N160" s="29" t="s">
        <v>731</v>
      </c>
      <c r="O160" s="147"/>
      <c r="P160" s="19" t="s">
        <v>37</v>
      </c>
    </row>
    <row r="161" spans="1:16" s="2" customFormat="1">
      <c r="A161" s="145" t="s">
        <v>244</v>
      </c>
      <c r="B161" s="39" t="s">
        <v>245</v>
      </c>
      <c r="C161" s="39" t="s">
        <v>245</v>
      </c>
      <c r="D161" s="24" t="s">
        <v>21</v>
      </c>
      <c r="E161" s="25" t="s">
        <v>22</v>
      </c>
      <c r="F161" s="25" t="s">
        <v>48</v>
      </c>
      <c r="G161" s="51">
        <v>29078</v>
      </c>
      <c r="H161" s="52">
        <f t="shared" ca="1" si="3"/>
        <v>47</v>
      </c>
      <c r="I161" s="25" t="s">
        <v>24</v>
      </c>
      <c r="J161" s="25" t="s">
        <v>25</v>
      </c>
      <c r="K161" s="25" t="s">
        <v>26</v>
      </c>
      <c r="L161" s="24" t="s">
        <v>27</v>
      </c>
      <c r="M161" s="29" t="s">
        <v>248</v>
      </c>
      <c r="N161" s="25" t="s">
        <v>738</v>
      </c>
      <c r="O161" s="145" t="s">
        <v>36</v>
      </c>
      <c r="P161" s="19" t="s">
        <v>37</v>
      </c>
    </row>
    <row r="162" spans="1:16" s="2" customFormat="1">
      <c r="A162" s="146"/>
      <c r="B162" s="29"/>
      <c r="C162" s="30" t="s">
        <v>246</v>
      </c>
      <c r="D162" s="31" t="s">
        <v>39</v>
      </c>
      <c r="E162" s="29" t="s">
        <v>40</v>
      </c>
      <c r="F162" s="29" t="s">
        <v>48</v>
      </c>
      <c r="G162" s="54">
        <v>30789</v>
      </c>
      <c r="H162" s="55">
        <f t="shared" ca="1" si="3"/>
        <v>42</v>
      </c>
      <c r="I162" s="29" t="s">
        <v>24</v>
      </c>
      <c r="J162" s="29" t="s">
        <v>25</v>
      </c>
      <c r="K162" s="29" t="s">
        <v>26</v>
      </c>
      <c r="L162" s="31" t="s">
        <v>27</v>
      </c>
      <c r="M162" s="29" t="s">
        <v>248</v>
      </c>
      <c r="N162" s="29" t="s">
        <v>738</v>
      </c>
      <c r="O162" s="146"/>
      <c r="P162" s="19" t="s">
        <v>37</v>
      </c>
    </row>
    <row r="163" spans="1:16" s="2" customFormat="1">
      <c r="A163" s="146"/>
      <c r="B163" s="29"/>
      <c r="C163" s="30" t="s">
        <v>247</v>
      </c>
      <c r="D163" s="31" t="s">
        <v>21</v>
      </c>
      <c r="E163" s="29" t="s">
        <v>44</v>
      </c>
      <c r="F163" s="29" t="s">
        <v>48</v>
      </c>
      <c r="G163" s="54">
        <v>37245</v>
      </c>
      <c r="H163" s="55">
        <f t="shared" ca="1" si="3"/>
        <v>24</v>
      </c>
      <c r="I163" s="29" t="s">
        <v>45</v>
      </c>
      <c r="J163" s="29" t="s">
        <v>25</v>
      </c>
      <c r="K163" s="29" t="s">
        <v>26</v>
      </c>
      <c r="L163" s="31" t="s">
        <v>27</v>
      </c>
      <c r="M163" s="29" t="s">
        <v>248</v>
      </c>
      <c r="N163" s="29" t="s">
        <v>741</v>
      </c>
      <c r="O163" s="146"/>
      <c r="P163" s="19" t="s">
        <v>37</v>
      </c>
    </row>
    <row r="164" spans="1:16" s="2" customFormat="1">
      <c r="A164" s="147"/>
      <c r="B164" s="35"/>
      <c r="C164" s="36" t="s">
        <v>249</v>
      </c>
      <c r="D164" s="37" t="s">
        <v>21</v>
      </c>
      <c r="E164" s="35" t="s">
        <v>44</v>
      </c>
      <c r="F164" s="35" t="s">
        <v>23</v>
      </c>
      <c r="G164" s="57">
        <v>42429</v>
      </c>
      <c r="H164" s="58">
        <f t="shared" ca="1" si="3"/>
        <v>10</v>
      </c>
      <c r="I164" s="35" t="s">
        <v>45</v>
      </c>
      <c r="J164" s="35" t="s">
        <v>25</v>
      </c>
      <c r="K164" s="35" t="s">
        <v>26</v>
      </c>
      <c r="L164" s="37" t="s">
        <v>27</v>
      </c>
      <c r="M164" s="35" t="s">
        <v>718</v>
      </c>
      <c r="N164" s="35" t="s">
        <v>741</v>
      </c>
      <c r="O164" s="147"/>
      <c r="P164" s="19" t="s">
        <v>37</v>
      </c>
    </row>
    <row r="165" spans="1:16" s="2" customFormat="1">
      <c r="A165" s="145" t="s">
        <v>251</v>
      </c>
      <c r="B165" s="39" t="s">
        <v>714</v>
      </c>
      <c r="C165" s="39" t="s">
        <v>714</v>
      </c>
      <c r="D165" s="24" t="s">
        <v>21</v>
      </c>
      <c r="E165" s="25" t="s">
        <v>22</v>
      </c>
      <c r="F165" s="25" t="s">
        <v>48</v>
      </c>
      <c r="G165" s="51">
        <v>34418</v>
      </c>
      <c r="H165" s="52">
        <f t="shared" ca="1" si="3"/>
        <v>32</v>
      </c>
      <c r="I165" s="25" t="s">
        <v>24</v>
      </c>
      <c r="J165" s="25" t="s">
        <v>25</v>
      </c>
      <c r="K165" s="25" t="s">
        <v>26</v>
      </c>
      <c r="L165" s="24" t="s">
        <v>27</v>
      </c>
      <c r="M165" s="25" t="s">
        <v>720</v>
      </c>
      <c r="N165" s="25" t="s">
        <v>738</v>
      </c>
      <c r="O165" s="154" t="s">
        <v>36</v>
      </c>
      <c r="P165" s="19" t="s">
        <v>37</v>
      </c>
    </row>
    <row r="166" spans="1:16" s="2" customFormat="1">
      <c r="A166" s="146"/>
      <c r="B166" s="29"/>
      <c r="C166" s="30" t="s">
        <v>715</v>
      </c>
      <c r="D166" s="31" t="s">
        <v>39</v>
      </c>
      <c r="E166" s="29" t="s">
        <v>40</v>
      </c>
      <c r="F166" s="29" t="s">
        <v>717</v>
      </c>
      <c r="G166" s="54">
        <v>35026</v>
      </c>
      <c r="H166" s="55">
        <f t="shared" ca="1" si="3"/>
        <v>30</v>
      </c>
      <c r="I166" s="29" t="s">
        <v>24</v>
      </c>
      <c r="J166" s="29" t="s">
        <v>25</v>
      </c>
      <c r="K166" s="29" t="s">
        <v>26</v>
      </c>
      <c r="L166" s="31" t="s">
        <v>27</v>
      </c>
      <c r="M166" s="29" t="s">
        <v>720</v>
      </c>
      <c r="N166" s="29" t="s">
        <v>739</v>
      </c>
      <c r="O166" s="154"/>
      <c r="P166" s="19" t="s">
        <v>37</v>
      </c>
    </row>
    <row r="167" spans="1:16" s="2" customFormat="1">
      <c r="A167" s="147"/>
      <c r="B167" s="35"/>
      <c r="C167" s="36" t="s">
        <v>716</v>
      </c>
      <c r="D167" s="37" t="s">
        <v>21</v>
      </c>
      <c r="E167" s="35" t="s">
        <v>44</v>
      </c>
      <c r="F167" s="35" t="s">
        <v>23</v>
      </c>
      <c r="G167" s="57">
        <v>43322</v>
      </c>
      <c r="H167" s="58">
        <f t="shared" ca="1" si="3"/>
        <v>8</v>
      </c>
      <c r="I167" s="35" t="s">
        <v>45</v>
      </c>
      <c r="J167" s="35" t="s">
        <v>25</v>
      </c>
      <c r="K167" s="35" t="s">
        <v>26</v>
      </c>
      <c r="L167" s="37" t="s">
        <v>27</v>
      </c>
      <c r="M167" s="35" t="s">
        <v>719</v>
      </c>
      <c r="N167" s="35" t="s">
        <v>731</v>
      </c>
      <c r="O167" s="154"/>
      <c r="P167" s="19" t="s">
        <v>37</v>
      </c>
    </row>
    <row r="168" spans="1:16" s="2" customFormat="1" ht="15" customHeight="1">
      <c r="A168" s="155" t="s">
        <v>252</v>
      </c>
      <c r="B168" s="99" t="s">
        <v>697</v>
      </c>
      <c r="C168" s="99" t="s">
        <v>697</v>
      </c>
      <c r="D168" s="24" t="s">
        <v>21</v>
      </c>
      <c r="E168" s="25" t="s">
        <v>22</v>
      </c>
      <c r="F168" s="35" t="s">
        <v>97</v>
      </c>
      <c r="G168" s="57">
        <v>34598</v>
      </c>
      <c r="H168" s="58">
        <f t="shared" ca="1" si="3"/>
        <v>32</v>
      </c>
      <c r="I168" s="25" t="s">
        <v>24</v>
      </c>
      <c r="J168" s="35" t="s">
        <v>25</v>
      </c>
      <c r="K168" s="35" t="s">
        <v>26</v>
      </c>
      <c r="L168" s="37" t="s">
        <v>27</v>
      </c>
      <c r="M168" s="29" t="s">
        <v>721</v>
      </c>
      <c r="N168" s="25" t="s">
        <v>737</v>
      </c>
      <c r="O168" s="145" t="s">
        <v>30</v>
      </c>
      <c r="P168" s="19" t="s">
        <v>31</v>
      </c>
    </row>
    <row r="169" spans="1:16" s="2" customFormat="1">
      <c r="A169" s="156"/>
      <c r="B169" s="32"/>
      <c r="C169" s="106" t="s">
        <v>698</v>
      </c>
      <c r="D169" s="31" t="s">
        <v>39</v>
      </c>
      <c r="E169" s="29" t="s">
        <v>40</v>
      </c>
      <c r="F169" s="35" t="s">
        <v>97</v>
      </c>
      <c r="G169" s="57">
        <v>37495</v>
      </c>
      <c r="H169" s="58">
        <f t="shared" ca="1" si="3"/>
        <v>24</v>
      </c>
      <c r="I169" s="29" t="s">
        <v>24</v>
      </c>
      <c r="J169" s="35" t="s">
        <v>25</v>
      </c>
      <c r="K169" s="35" t="s">
        <v>26</v>
      </c>
      <c r="L169" s="37" t="s">
        <v>27</v>
      </c>
      <c r="M169" s="25" t="s">
        <v>720</v>
      </c>
      <c r="N169" s="29" t="s">
        <v>739</v>
      </c>
      <c r="O169" s="147"/>
      <c r="P169" s="19" t="s">
        <v>31</v>
      </c>
    </row>
    <row r="170" spans="1:16" s="2" customFormat="1">
      <c r="A170" s="145" t="s">
        <v>257</v>
      </c>
      <c r="B170" s="39" t="s">
        <v>258</v>
      </c>
      <c r="C170" s="39" t="s">
        <v>258</v>
      </c>
      <c r="D170" s="24" t="s">
        <v>21</v>
      </c>
      <c r="E170" s="25" t="s">
        <v>22</v>
      </c>
      <c r="F170" s="25" t="s">
        <v>259</v>
      </c>
      <c r="G170" s="51">
        <v>28461</v>
      </c>
      <c r="H170" s="52">
        <f t="shared" ca="1" si="3"/>
        <v>48</v>
      </c>
      <c r="I170" s="25" t="s">
        <v>24</v>
      </c>
      <c r="J170" s="25" t="s">
        <v>260</v>
      </c>
      <c r="K170" s="25" t="s">
        <v>26</v>
      </c>
      <c r="L170" s="24" t="s">
        <v>89</v>
      </c>
      <c r="M170" s="25" t="s">
        <v>126</v>
      </c>
      <c r="N170" s="25" t="s">
        <v>737</v>
      </c>
      <c r="O170" s="145" t="s">
        <v>36</v>
      </c>
      <c r="P170" s="19" t="s">
        <v>37</v>
      </c>
    </row>
    <row r="171" spans="1:16" s="2" customFormat="1">
      <c r="A171" s="146"/>
      <c r="B171" s="29"/>
      <c r="C171" s="30" t="s">
        <v>261</v>
      </c>
      <c r="D171" s="31" t="s">
        <v>39</v>
      </c>
      <c r="E171" s="29" t="s">
        <v>40</v>
      </c>
      <c r="F171" s="29" t="s">
        <v>23</v>
      </c>
      <c r="G171" s="54">
        <v>29891</v>
      </c>
      <c r="H171" s="55">
        <f t="shared" ca="1" si="3"/>
        <v>44</v>
      </c>
      <c r="I171" s="29" t="s">
        <v>24</v>
      </c>
      <c r="J171" s="29" t="s">
        <v>260</v>
      </c>
      <c r="K171" s="29" t="s">
        <v>26</v>
      </c>
      <c r="L171" s="31" t="s">
        <v>27</v>
      </c>
      <c r="M171" s="29" t="s">
        <v>126</v>
      </c>
      <c r="N171" s="29" t="s">
        <v>739</v>
      </c>
      <c r="O171" s="146"/>
      <c r="P171" s="19" t="s">
        <v>37</v>
      </c>
    </row>
    <row r="172" spans="1:16" s="2" customFormat="1">
      <c r="A172" s="146"/>
      <c r="B172" s="29"/>
      <c r="C172" s="30" t="s">
        <v>262</v>
      </c>
      <c r="D172" s="31" t="s">
        <v>21</v>
      </c>
      <c r="E172" s="29" t="s">
        <v>44</v>
      </c>
      <c r="F172" s="29" t="s">
        <v>23</v>
      </c>
      <c r="G172" s="54">
        <v>39549</v>
      </c>
      <c r="H172" s="55">
        <f t="shared" ca="1" si="3"/>
        <v>18</v>
      </c>
      <c r="I172" s="29" t="s">
        <v>45</v>
      </c>
      <c r="J172" s="29" t="s">
        <v>260</v>
      </c>
      <c r="K172" s="29" t="s">
        <v>26</v>
      </c>
      <c r="L172" s="31" t="s">
        <v>27</v>
      </c>
      <c r="M172" s="29" t="s">
        <v>721</v>
      </c>
      <c r="N172" s="29" t="s">
        <v>741</v>
      </c>
      <c r="O172" s="146"/>
      <c r="P172" s="19" t="s">
        <v>37</v>
      </c>
    </row>
    <row r="173" spans="1:16" s="2" customFormat="1">
      <c r="A173" s="147"/>
      <c r="B173" s="35"/>
      <c r="C173" s="36" t="s">
        <v>263</v>
      </c>
      <c r="D173" s="37" t="s">
        <v>21</v>
      </c>
      <c r="E173" s="35" t="s">
        <v>44</v>
      </c>
      <c r="F173" s="35" t="s">
        <v>23</v>
      </c>
      <c r="G173" s="57">
        <v>41351</v>
      </c>
      <c r="H173" s="58">
        <f t="shared" ca="1" si="3"/>
        <v>13</v>
      </c>
      <c r="I173" s="35" t="s">
        <v>45</v>
      </c>
      <c r="J173" s="35" t="s">
        <v>260</v>
      </c>
      <c r="K173" s="35" t="s">
        <v>26</v>
      </c>
      <c r="L173" s="37" t="s">
        <v>27</v>
      </c>
      <c r="M173" s="35" t="s">
        <v>98</v>
      </c>
      <c r="N173" s="35" t="s">
        <v>741</v>
      </c>
      <c r="O173" s="146"/>
      <c r="P173" s="19" t="s">
        <v>37</v>
      </c>
    </row>
    <row r="174" spans="1:16" s="2" customFormat="1" ht="15" customHeight="1">
      <c r="A174" s="155" t="s">
        <v>264</v>
      </c>
      <c r="B174" s="99" t="s">
        <v>253</v>
      </c>
      <c r="C174" s="99" t="s">
        <v>253</v>
      </c>
      <c r="D174" s="117" t="s">
        <v>21</v>
      </c>
      <c r="E174" s="25" t="s">
        <v>22</v>
      </c>
      <c r="F174" s="35" t="s">
        <v>23</v>
      </c>
      <c r="G174" s="57">
        <v>29385</v>
      </c>
      <c r="H174" s="58">
        <f t="shared" ref="H174:H177" ca="1" si="10">INT((TODAY()-G174)/365)</f>
        <v>46</v>
      </c>
      <c r="I174" s="25" t="s">
        <v>24</v>
      </c>
      <c r="J174" s="35" t="s">
        <v>25</v>
      </c>
      <c r="K174" s="35" t="s">
        <v>26</v>
      </c>
      <c r="L174" s="119" t="s">
        <v>27</v>
      </c>
      <c r="M174" s="32" t="s">
        <v>98</v>
      </c>
      <c r="N174" s="25" t="s">
        <v>740</v>
      </c>
      <c r="O174" s="146" t="s">
        <v>30</v>
      </c>
      <c r="P174" s="19" t="s">
        <v>31</v>
      </c>
    </row>
    <row r="175" spans="1:16" s="2" customFormat="1">
      <c r="A175" s="156"/>
      <c r="B175" s="32"/>
      <c r="C175" s="106" t="s">
        <v>254</v>
      </c>
      <c r="D175" s="118" t="s">
        <v>39</v>
      </c>
      <c r="E175" s="29" t="s">
        <v>40</v>
      </c>
      <c r="F175" s="35" t="s">
        <v>23</v>
      </c>
      <c r="G175" s="57">
        <v>28628</v>
      </c>
      <c r="H175" s="58">
        <f t="shared" ca="1" si="10"/>
        <v>48</v>
      </c>
      <c r="I175" s="29" t="s">
        <v>24</v>
      </c>
      <c r="J175" s="35" t="s">
        <v>25</v>
      </c>
      <c r="K175" s="35" t="s">
        <v>26</v>
      </c>
      <c r="L175" s="119" t="s">
        <v>27</v>
      </c>
      <c r="M175" s="25" t="s">
        <v>720</v>
      </c>
      <c r="N175" s="29" t="s">
        <v>738</v>
      </c>
      <c r="O175" s="146"/>
      <c r="P175" s="19" t="s">
        <v>31</v>
      </c>
    </row>
    <row r="176" spans="1:16" s="2" customFormat="1">
      <c r="A176" s="156"/>
      <c r="B176" s="32"/>
      <c r="C176" s="106" t="s">
        <v>255</v>
      </c>
      <c r="D176" s="118" t="s">
        <v>21</v>
      </c>
      <c r="E176" s="29" t="s">
        <v>44</v>
      </c>
      <c r="F176" s="35" t="s">
        <v>23</v>
      </c>
      <c r="G176" s="57">
        <v>37202</v>
      </c>
      <c r="H176" s="58">
        <f t="shared" ca="1" si="10"/>
        <v>24</v>
      </c>
      <c r="I176" s="35" t="s">
        <v>45</v>
      </c>
      <c r="J176" s="35" t="s">
        <v>25</v>
      </c>
      <c r="K176" s="35" t="s">
        <v>26</v>
      </c>
      <c r="L176" s="119" t="s">
        <v>27</v>
      </c>
      <c r="M176" s="29" t="s">
        <v>720</v>
      </c>
      <c r="N176" s="29" t="s">
        <v>741</v>
      </c>
      <c r="O176" s="146"/>
      <c r="P176" s="19" t="s">
        <v>31</v>
      </c>
    </row>
    <row r="177" spans="1:16" s="84" customFormat="1">
      <c r="A177" s="157"/>
      <c r="B177" s="101"/>
      <c r="C177" s="102" t="s">
        <v>256</v>
      </c>
      <c r="D177" s="119" t="s">
        <v>21</v>
      </c>
      <c r="E177" s="35" t="s">
        <v>44</v>
      </c>
      <c r="F177" s="35" t="s">
        <v>23</v>
      </c>
      <c r="G177" s="57">
        <v>40385</v>
      </c>
      <c r="H177" s="58">
        <f t="shared" ca="1" si="10"/>
        <v>16</v>
      </c>
      <c r="I177" s="35" t="s">
        <v>45</v>
      </c>
      <c r="J177" s="35" t="s">
        <v>25</v>
      </c>
      <c r="K177" s="35" t="s">
        <v>26</v>
      </c>
      <c r="L177" s="119" t="s">
        <v>27</v>
      </c>
      <c r="M177" s="29" t="s">
        <v>721</v>
      </c>
      <c r="N177" s="29" t="s">
        <v>741</v>
      </c>
      <c r="O177" s="147"/>
      <c r="P177" s="19" t="s">
        <v>31</v>
      </c>
    </row>
    <row r="178" spans="1:16" s="84" customFormat="1" ht="15" customHeight="1">
      <c r="A178" s="155" t="s">
        <v>265</v>
      </c>
      <c r="B178" s="93" t="s">
        <v>696</v>
      </c>
      <c r="C178" s="93" t="s">
        <v>696</v>
      </c>
      <c r="D178" s="24" t="s">
        <v>21</v>
      </c>
      <c r="E178" s="25" t="s">
        <v>22</v>
      </c>
      <c r="F178" s="102" t="s">
        <v>23</v>
      </c>
      <c r="G178" s="57">
        <v>28945</v>
      </c>
      <c r="H178" s="58">
        <f t="shared" ca="1" si="3"/>
        <v>47</v>
      </c>
      <c r="I178" s="25" t="s">
        <v>24</v>
      </c>
      <c r="J178" s="35" t="s">
        <v>25</v>
      </c>
      <c r="K178" s="29" t="s">
        <v>26</v>
      </c>
      <c r="L178" s="101" t="s">
        <v>27</v>
      </c>
      <c r="M178" s="25" t="s">
        <v>248</v>
      </c>
      <c r="N178" s="25" t="s">
        <v>738</v>
      </c>
      <c r="O178" s="155" t="s">
        <v>30</v>
      </c>
      <c r="P178" s="19" t="s">
        <v>31</v>
      </c>
    </row>
    <row r="179" spans="1:16" s="84" customFormat="1">
      <c r="A179" s="156"/>
      <c r="B179" s="101"/>
      <c r="C179" s="102" t="s">
        <v>758</v>
      </c>
      <c r="D179" s="31" t="s">
        <v>39</v>
      </c>
      <c r="E179" s="29" t="s">
        <v>40</v>
      </c>
      <c r="F179" s="102" t="s">
        <v>23</v>
      </c>
      <c r="G179" s="57">
        <v>30394</v>
      </c>
      <c r="H179" s="58">
        <f t="shared" ca="1" si="3"/>
        <v>43</v>
      </c>
      <c r="I179" s="29" t="s">
        <v>24</v>
      </c>
      <c r="J179" s="35" t="s">
        <v>25</v>
      </c>
      <c r="K179" s="29" t="s">
        <v>26</v>
      </c>
      <c r="L179" s="37" t="s">
        <v>27</v>
      </c>
      <c r="M179" s="25" t="s">
        <v>248</v>
      </c>
      <c r="N179" s="29" t="s">
        <v>738</v>
      </c>
      <c r="O179" s="156"/>
      <c r="P179" s="19" t="s">
        <v>31</v>
      </c>
    </row>
    <row r="180" spans="1:16" s="84" customFormat="1">
      <c r="A180" s="156"/>
      <c r="B180" s="101"/>
      <c r="C180" s="102" t="s">
        <v>759</v>
      </c>
      <c r="D180" s="118" t="s">
        <v>39</v>
      </c>
      <c r="E180" s="35" t="s">
        <v>44</v>
      </c>
      <c r="F180" s="102" t="s">
        <v>23</v>
      </c>
      <c r="G180" s="57">
        <v>39765</v>
      </c>
      <c r="H180" s="58">
        <f t="shared" ca="1" si="3"/>
        <v>17</v>
      </c>
      <c r="I180" s="35" t="s">
        <v>45</v>
      </c>
      <c r="J180" s="35" t="s">
        <v>25</v>
      </c>
      <c r="K180" s="29" t="s">
        <v>26</v>
      </c>
      <c r="L180" s="119" t="s">
        <v>27</v>
      </c>
      <c r="M180" s="25" t="s">
        <v>248</v>
      </c>
      <c r="N180" s="29" t="s">
        <v>741</v>
      </c>
      <c r="O180" s="156"/>
      <c r="P180" s="19" t="s">
        <v>31</v>
      </c>
    </row>
    <row r="181" spans="1:16" s="84" customFormat="1">
      <c r="A181" s="156"/>
      <c r="B181" s="101"/>
      <c r="C181" s="102" t="s">
        <v>760</v>
      </c>
      <c r="D181" s="86" t="s">
        <v>39</v>
      </c>
      <c r="E181" s="35" t="s">
        <v>44</v>
      </c>
      <c r="F181" s="102" t="s">
        <v>23</v>
      </c>
      <c r="G181" s="57">
        <v>40275</v>
      </c>
      <c r="H181" s="58">
        <f t="shared" ca="1" si="3"/>
        <v>16</v>
      </c>
      <c r="I181" s="35" t="s">
        <v>45</v>
      </c>
      <c r="J181" s="35" t="s">
        <v>25</v>
      </c>
      <c r="K181" s="29" t="s">
        <v>26</v>
      </c>
      <c r="L181" s="37" t="s">
        <v>27</v>
      </c>
      <c r="M181" s="29" t="s">
        <v>762</v>
      </c>
      <c r="N181" s="29" t="s">
        <v>741</v>
      </c>
      <c r="O181" s="157"/>
      <c r="P181" s="19" t="s">
        <v>31</v>
      </c>
    </row>
    <row r="182" spans="1:16" s="2" customFormat="1">
      <c r="A182" s="145" t="s">
        <v>266</v>
      </c>
      <c r="B182" s="38" t="s">
        <v>267</v>
      </c>
      <c r="C182" s="38" t="s">
        <v>267</v>
      </c>
      <c r="D182" s="24" t="s">
        <v>21</v>
      </c>
      <c r="E182" s="25" t="s">
        <v>22</v>
      </c>
      <c r="F182" s="25" t="s">
        <v>268</v>
      </c>
      <c r="G182" s="51">
        <v>29182</v>
      </c>
      <c r="H182" s="52">
        <f t="shared" ref="H182:H190" ca="1" si="11">INT((TODAY()-G182)/365)</f>
        <v>46</v>
      </c>
      <c r="I182" s="25" t="s">
        <v>24</v>
      </c>
      <c r="J182" s="25" t="s">
        <v>25</v>
      </c>
      <c r="K182" s="25" t="s">
        <v>26</v>
      </c>
      <c r="L182" s="24" t="s">
        <v>112</v>
      </c>
      <c r="M182" s="25" t="s">
        <v>204</v>
      </c>
      <c r="N182" s="19" t="s">
        <v>738</v>
      </c>
      <c r="O182" s="145" t="s">
        <v>36</v>
      </c>
      <c r="P182" s="19" t="s">
        <v>37</v>
      </c>
    </row>
    <row r="183" spans="1:16" s="2" customFormat="1">
      <c r="A183" s="146"/>
      <c r="B183" s="29"/>
      <c r="C183" s="29" t="s">
        <v>269</v>
      </c>
      <c r="D183" s="31" t="s">
        <v>39</v>
      </c>
      <c r="E183" s="29" t="s">
        <v>40</v>
      </c>
      <c r="F183" s="29" t="s">
        <v>23</v>
      </c>
      <c r="G183" s="54">
        <v>29411</v>
      </c>
      <c r="H183" s="55">
        <f t="shared" ca="1" si="11"/>
        <v>46</v>
      </c>
      <c r="I183" s="29" t="s">
        <v>24</v>
      </c>
      <c r="J183" s="29" t="s">
        <v>25</v>
      </c>
      <c r="K183" s="29" t="s">
        <v>26</v>
      </c>
      <c r="L183" s="31" t="s">
        <v>27</v>
      </c>
      <c r="M183" s="29" t="s">
        <v>720</v>
      </c>
      <c r="N183" s="19" t="s">
        <v>739</v>
      </c>
      <c r="O183" s="146"/>
      <c r="P183" s="19" t="s">
        <v>37</v>
      </c>
    </row>
    <row r="184" spans="1:16" s="2" customFormat="1">
      <c r="A184" s="146"/>
      <c r="B184" s="29"/>
      <c r="C184" s="29" t="s">
        <v>270</v>
      </c>
      <c r="D184" s="31" t="s">
        <v>21</v>
      </c>
      <c r="E184" s="29" t="s">
        <v>44</v>
      </c>
      <c r="F184" s="29" t="s">
        <v>23</v>
      </c>
      <c r="G184" s="54">
        <v>38720</v>
      </c>
      <c r="H184" s="55">
        <f t="shared" ca="1" si="11"/>
        <v>20</v>
      </c>
      <c r="I184" s="29" t="s">
        <v>45</v>
      </c>
      <c r="J184" s="29" t="s">
        <v>25</v>
      </c>
      <c r="K184" s="29" t="s">
        <v>271</v>
      </c>
      <c r="L184" s="31" t="s">
        <v>27</v>
      </c>
      <c r="M184" s="29" t="s">
        <v>763</v>
      </c>
      <c r="N184" s="19" t="s">
        <v>741</v>
      </c>
      <c r="O184" s="146"/>
      <c r="P184" s="19" t="s">
        <v>37</v>
      </c>
    </row>
    <row r="185" spans="1:16" s="2" customFormat="1">
      <c r="A185" s="147"/>
      <c r="B185" s="35"/>
      <c r="C185" s="35" t="s">
        <v>272</v>
      </c>
      <c r="D185" s="37" t="s">
        <v>757</v>
      </c>
      <c r="E185" s="35" t="s">
        <v>44</v>
      </c>
      <c r="F185" s="35" t="s">
        <v>23</v>
      </c>
      <c r="G185" s="57">
        <v>41532</v>
      </c>
      <c r="H185" s="58">
        <f t="shared" ca="1" si="11"/>
        <v>13</v>
      </c>
      <c r="I185" s="35" t="s">
        <v>45</v>
      </c>
      <c r="J185" s="35" t="s">
        <v>25</v>
      </c>
      <c r="K185" s="35" t="s">
        <v>26</v>
      </c>
      <c r="L185" s="37" t="s">
        <v>27</v>
      </c>
      <c r="M185" s="35" t="s">
        <v>764</v>
      </c>
      <c r="N185" s="19" t="s">
        <v>741</v>
      </c>
      <c r="O185" s="147"/>
      <c r="P185" s="19" t="s">
        <v>37</v>
      </c>
    </row>
    <row r="186" spans="1:16" s="2" customFormat="1">
      <c r="A186" s="145" t="s">
        <v>273</v>
      </c>
      <c r="B186" s="38" t="s">
        <v>274</v>
      </c>
      <c r="C186" s="38" t="s">
        <v>274</v>
      </c>
      <c r="D186" s="24" t="s">
        <v>21</v>
      </c>
      <c r="E186" s="25" t="s">
        <v>22</v>
      </c>
      <c r="F186" s="25" t="s">
        <v>23</v>
      </c>
      <c r="G186" s="51">
        <v>27066</v>
      </c>
      <c r="H186" s="52">
        <f t="shared" ca="1" si="11"/>
        <v>52</v>
      </c>
      <c r="I186" s="25" t="s">
        <v>24</v>
      </c>
      <c r="J186" s="25" t="s">
        <v>25</v>
      </c>
      <c r="K186" s="25" t="s">
        <v>26</v>
      </c>
      <c r="L186" s="24" t="s">
        <v>27</v>
      </c>
      <c r="M186" s="25" t="s">
        <v>720</v>
      </c>
      <c r="N186" s="25" t="s">
        <v>738</v>
      </c>
      <c r="O186" s="145" t="s">
        <v>36</v>
      </c>
      <c r="P186" s="19" t="s">
        <v>37</v>
      </c>
    </row>
    <row r="187" spans="1:16" s="2" customFormat="1">
      <c r="A187" s="146"/>
      <c r="B187" s="29"/>
      <c r="C187" s="29" t="s">
        <v>275</v>
      </c>
      <c r="D187" s="31" t="s">
        <v>39</v>
      </c>
      <c r="E187" s="29" t="s">
        <v>40</v>
      </c>
      <c r="F187" s="29" t="s">
        <v>23</v>
      </c>
      <c r="G187" s="54">
        <v>28171</v>
      </c>
      <c r="H187" s="55">
        <f t="shared" ca="1" si="11"/>
        <v>49</v>
      </c>
      <c r="I187" s="29" t="s">
        <v>24</v>
      </c>
      <c r="J187" s="29" t="s">
        <v>25</v>
      </c>
      <c r="K187" s="29" t="s">
        <v>26</v>
      </c>
      <c r="L187" s="31" t="s">
        <v>27</v>
      </c>
      <c r="M187" s="29" t="s">
        <v>720</v>
      </c>
      <c r="N187" s="29" t="s">
        <v>738</v>
      </c>
      <c r="O187" s="146"/>
      <c r="P187" s="19" t="s">
        <v>37</v>
      </c>
    </row>
    <row r="188" spans="1:16" s="2" customFormat="1">
      <c r="A188" s="146"/>
      <c r="B188" s="29"/>
      <c r="C188" s="29" t="s">
        <v>276</v>
      </c>
      <c r="D188" s="31" t="s">
        <v>21</v>
      </c>
      <c r="E188" s="29" t="s">
        <v>44</v>
      </c>
      <c r="F188" s="29" t="s">
        <v>23</v>
      </c>
      <c r="G188" s="54">
        <v>37258</v>
      </c>
      <c r="H188" s="55">
        <f t="shared" ca="1" si="11"/>
        <v>24</v>
      </c>
      <c r="I188" s="29" t="s">
        <v>45</v>
      </c>
      <c r="J188" s="29" t="s">
        <v>25</v>
      </c>
      <c r="K188" s="29" t="s">
        <v>26</v>
      </c>
      <c r="L188" s="31" t="s">
        <v>27</v>
      </c>
      <c r="M188" s="29" t="s">
        <v>763</v>
      </c>
      <c r="N188" s="29" t="s">
        <v>741</v>
      </c>
      <c r="O188" s="146"/>
      <c r="P188" s="19" t="s">
        <v>37</v>
      </c>
    </row>
    <row r="189" spans="1:16" s="2" customFormat="1">
      <c r="A189" s="146"/>
      <c r="B189" s="29"/>
      <c r="C189" s="29" t="s">
        <v>277</v>
      </c>
      <c r="D189" s="31" t="s">
        <v>21</v>
      </c>
      <c r="E189" s="29" t="s">
        <v>44</v>
      </c>
      <c r="F189" s="29" t="s">
        <v>23</v>
      </c>
      <c r="G189" s="54">
        <v>39077</v>
      </c>
      <c r="H189" s="55">
        <f t="shared" ca="1" si="11"/>
        <v>19</v>
      </c>
      <c r="I189" s="29" t="s">
        <v>45</v>
      </c>
      <c r="J189" s="29" t="s">
        <v>25</v>
      </c>
      <c r="K189" s="29" t="s">
        <v>26</v>
      </c>
      <c r="L189" s="31" t="s">
        <v>27</v>
      </c>
      <c r="M189" s="29" t="s">
        <v>763</v>
      </c>
      <c r="N189" s="29" t="s">
        <v>738</v>
      </c>
      <c r="O189" s="146"/>
      <c r="P189" s="19" t="s">
        <v>37</v>
      </c>
    </row>
    <row r="190" spans="1:16" s="2" customFormat="1">
      <c r="A190" s="147"/>
      <c r="B190" s="35"/>
      <c r="C190" s="35" t="s">
        <v>278</v>
      </c>
      <c r="D190" s="37" t="s">
        <v>39</v>
      </c>
      <c r="E190" s="35" t="s">
        <v>44</v>
      </c>
      <c r="F190" s="35" t="s">
        <v>23</v>
      </c>
      <c r="G190" s="57">
        <v>41164</v>
      </c>
      <c r="H190" s="58">
        <f t="shared" ca="1" si="11"/>
        <v>14</v>
      </c>
      <c r="I190" s="35" t="s">
        <v>45</v>
      </c>
      <c r="J190" s="35" t="s">
        <v>25</v>
      </c>
      <c r="K190" s="35" t="s">
        <v>26</v>
      </c>
      <c r="L190" s="37" t="s">
        <v>27</v>
      </c>
      <c r="M190" s="35" t="s">
        <v>98</v>
      </c>
      <c r="N190" s="35" t="s">
        <v>741</v>
      </c>
      <c r="O190" s="147"/>
      <c r="P190" s="19" t="s">
        <v>37</v>
      </c>
    </row>
    <row r="191" spans="1:16" s="2" customFormat="1">
      <c r="A191" s="132" t="s">
        <v>279</v>
      </c>
      <c r="B191" s="107"/>
      <c r="C191" s="107"/>
      <c r="D191" s="108"/>
      <c r="E191" s="109"/>
      <c r="F191" s="109"/>
      <c r="G191" s="110"/>
      <c r="H191" s="115"/>
      <c r="I191" s="109"/>
      <c r="J191" s="109"/>
      <c r="K191" s="109"/>
      <c r="L191" s="108"/>
      <c r="M191" s="109"/>
      <c r="N191" s="109"/>
      <c r="O191" s="88" t="s">
        <v>58</v>
      </c>
      <c r="P191" s="133"/>
    </row>
    <row r="192" spans="1:16" s="2" customFormat="1">
      <c r="A192" s="132" t="s">
        <v>287</v>
      </c>
      <c r="B192" s="107"/>
      <c r="C192" s="107"/>
      <c r="D192" s="108"/>
      <c r="E192" s="109"/>
      <c r="F192" s="109"/>
      <c r="G192" s="110"/>
      <c r="H192" s="115"/>
      <c r="I192" s="109"/>
      <c r="J192" s="109"/>
      <c r="K192" s="109"/>
      <c r="L192" s="108"/>
      <c r="M192" s="109"/>
      <c r="N192" s="132"/>
      <c r="O192" s="88" t="s">
        <v>58</v>
      </c>
      <c r="P192" s="133"/>
    </row>
    <row r="193" spans="1:16" s="2" customFormat="1">
      <c r="A193" s="145" t="s">
        <v>605</v>
      </c>
      <c r="B193" s="38" t="s">
        <v>701</v>
      </c>
      <c r="C193" s="38" t="s">
        <v>701</v>
      </c>
      <c r="D193" s="24" t="s">
        <v>21</v>
      </c>
      <c r="E193" s="25" t="s">
        <v>22</v>
      </c>
      <c r="F193" s="25" t="s">
        <v>702</v>
      </c>
      <c r="G193" s="51">
        <v>28003</v>
      </c>
      <c r="H193" s="24">
        <f t="shared" ca="1" si="3"/>
        <v>50</v>
      </c>
      <c r="I193" s="25" t="s">
        <v>24</v>
      </c>
      <c r="J193" s="25" t="s">
        <v>25</v>
      </c>
      <c r="K193" s="25" t="s">
        <v>26</v>
      </c>
      <c r="L193" s="24" t="s">
        <v>112</v>
      </c>
      <c r="M193" s="25" t="s">
        <v>204</v>
      </c>
      <c r="N193" s="19" t="s">
        <v>738</v>
      </c>
      <c r="O193" s="145" t="s">
        <v>30</v>
      </c>
      <c r="P193" s="46" t="s">
        <v>31</v>
      </c>
    </row>
    <row r="194" spans="1:16" s="2" customFormat="1">
      <c r="A194" s="146"/>
      <c r="B194" s="29"/>
      <c r="C194" s="29" t="s">
        <v>703</v>
      </c>
      <c r="D194" s="31" t="s">
        <v>39</v>
      </c>
      <c r="E194" s="29" t="s">
        <v>40</v>
      </c>
      <c r="F194" s="29" t="s">
        <v>23</v>
      </c>
      <c r="G194" s="54">
        <v>35067</v>
      </c>
      <c r="H194" s="31">
        <f t="shared" ca="1" si="3"/>
        <v>30</v>
      </c>
      <c r="I194" s="29" t="s">
        <v>24</v>
      </c>
      <c r="J194" s="29" t="s">
        <v>25</v>
      </c>
      <c r="K194" s="29" t="s">
        <v>26</v>
      </c>
      <c r="L194" s="31" t="s">
        <v>27</v>
      </c>
      <c r="M194" s="29" t="s">
        <v>248</v>
      </c>
      <c r="N194" s="19" t="s">
        <v>739</v>
      </c>
      <c r="O194" s="146"/>
      <c r="P194" s="46" t="s">
        <v>31</v>
      </c>
    </row>
    <row r="195" spans="1:16" s="2" customFormat="1">
      <c r="A195" s="145" t="s">
        <v>288</v>
      </c>
      <c r="B195" s="38" t="s">
        <v>289</v>
      </c>
      <c r="C195" s="38" t="s">
        <v>289</v>
      </c>
      <c r="D195" s="24" t="s">
        <v>21</v>
      </c>
      <c r="E195" s="25" t="s">
        <v>22</v>
      </c>
      <c r="F195" s="25" t="s">
        <v>290</v>
      </c>
      <c r="G195" s="51">
        <v>25422</v>
      </c>
      <c r="H195" s="52">
        <f t="shared" ca="1" si="3"/>
        <v>57</v>
      </c>
      <c r="I195" s="25" t="s">
        <v>24</v>
      </c>
      <c r="J195" s="25" t="s">
        <v>25</v>
      </c>
      <c r="K195" s="25" t="s">
        <v>26</v>
      </c>
      <c r="L195" s="24" t="s">
        <v>27</v>
      </c>
      <c r="M195" s="25" t="s">
        <v>720</v>
      </c>
      <c r="N195" s="25" t="s">
        <v>737</v>
      </c>
      <c r="O195" s="145" t="s">
        <v>36</v>
      </c>
      <c r="P195" s="19" t="s">
        <v>37</v>
      </c>
    </row>
    <row r="196" spans="1:16" s="2" customFormat="1">
      <c r="A196" s="146"/>
      <c r="B196" s="29"/>
      <c r="C196" s="29" t="s">
        <v>291</v>
      </c>
      <c r="D196" s="31" t="s">
        <v>39</v>
      </c>
      <c r="E196" s="29" t="s">
        <v>40</v>
      </c>
      <c r="F196" s="29" t="s">
        <v>292</v>
      </c>
      <c r="G196" s="54">
        <v>26784</v>
      </c>
      <c r="H196" s="55">
        <f t="shared" ca="1" si="3"/>
        <v>53</v>
      </c>
      <c r="I196" s="29" t="s">
        <v>24</v>
      </c>
      <c r="J196" s="29" t="s">
        <v>25</v>
      </c>
      <c r="K196" s="29" t="s">
        <v>26</v>
      </c>
      <c r="L196" s="31" t="s">
        <v>112</v>
      </c>
      <c r="M196" s="29" t="s">
        <v>720</v>
      </c>
      <c r="N196" s="29" t="s">
        <v>739</v>
      </c>
      <c r="O196" s="146"/>
      <c r="P196" s="19" t="s">
        <v>37</v>
      </c>
    </row>
    <row r="197" spans="1:16" s="2" customFormat="1">
      <c r="A197" s="146"/>
      <c r="B197" s="29"/>
      <c r="C197" s="29" t="s">
        <v>293</v>
      </c>
      <c r="D197" s="31" t="s">
        <v>39</v>
      </c>
      <c r="E197" s="29" t="s">
        <v>44</v>
      </c>
      <c r="F197" s="29" t="s">
        <v>23</v>
      </c>
      <c r="G197" s="54">
        <v>36460</v>
      </c>
      <c r="H197" s="55">
        <f t="shared" ca="1" si="3"/>
        <v>26</v>
      </c>
      <c r="I197" s="29" t="s">
        <v>45</v>
      </c>
      <c r="J197" s="29" t="s">
        <v>25</v>
      </c>
      <c r="K197" s="29" t="s">
        <v>26</v>
      </c>
      <c r="L197" s="31" t="s">
        <v>27</v>
      </c>
      <c r="M197" s="29" t="s">
        <v>155</v>
      </c>
      <c r="N197" s="35" t="s">
        <v>731</v>
      </c>
      <c r="O197" s="146"/>
      <c r="P197" s="19" t="s">
        <v>37</v>
      </c>
    </row>
    <row r="198" spans="1:16" s="2" customFormat="1">
      <c r="A198" s="147"/>
      <c r="B198" s="35"/>
      <c r="C198" s="35" t="s">
        <v>294</v>
      </c>
      <c r="D198" s="37" t="s">
        <v>39</v>
      </c>
      <c r="E198" s="35" t="s">
        <v>44</v>
      </c>
      <c r="F198" s="35" t="s">
        <v>23</v>
      </c>
      <c r="G198" s="57">
        <v>38918</v>
      </c>
      <c r="H198" s="58">
        <f t="shared" ca="1" si="3"/>
        <v>20</v>
      </c>
      <c r="I198" s="35" t="s">
        <v>45</v>
      </c>
      <c r="J198" s="35" t="s">
        <v>25</v>
      </c>
      <c r="K198" s="35" t="s">
        <v>26</v>
      </c>
      <c r="L198" s="37" t="s">
        <v>27</v>
      </c>
      <c r="M198" s="29" t="s">
        <v>720</v>
      </c>
      <c r="N198" s="35" t="s">
        <v>731</v>
      </c>
      <c r="O198" s="147"/>
      <c r="P198" s="19" t="s">
        <v>37</v>
      </c>
    </row>
    <row r="199" spans="1:16" s="2" customFormat="1">
      <c r="A199" s="116" t="s">
        <v>624</v>
      </c>
      <c r="B199" s="127" t="s">
        <v>727</v>
      </c>
      <c r="C199" s="127" t="s">
        <v>727</v>
      </c>
      <c r="D199" s="117" t="s">
        <v>21</v>
      </c>
      <c r="E199" s="25" t="s">
        <v>22</v>
      </c>
      <c r="F199" s="26" t="s">
        <v>97</v>
      </c>
      <c r="G199" s="124">
        <v>28204</v>
      </c>
      <c r="H199" s="125">
        <f t="shared" ca="1" si="3"/>
        <v>49</v>
      </c>
      <c r="I199" s="25" t="s">
        <v>24</v>
      </c>
      <c r="J199" s="25" t="s">
        <v>25</v>
      </c>
      <c r="K199" s="25" t="s">
        <v>26</v>
      </c>
      <c r="L199" s="119" t="s">
        <v>27</v>
      </c>
      <c r="M199" s="35" t="s">
        <v>98</v>
      </c>
      <c r="N199" s="26" t="s">
        <v>740</v>
      </c>
      <c r="O199" s="145" t="s">
        <v>30</v>
      </c>
      <c r="P199" s="19" t="s">
        <v>37</v>
      </c>
    </row>
    <row r="200" spans="1:16" s="2" customFormat="1">
      <c r="A200" s="116"/>
      <c r="B200" s="26"/>
      <c r="C200" s="26" t="s">
        <v>728</v>
      </c>
      <c r="D200" s="118" t="s">
        <v>39</v>
      </c>
      <c r="E200" s="29" t="s">
        <v>40</v>
      </c>
      <c r="F200" s="26" t="s">
        <v>23</v>
      </c>
      <c r="G200" s="124">
        <v>29381</v>
      </c>
      <c r="H200" s="125">
        <f t="shared" ca="1" si="3"/>
        <v>46</v>
      </c>
      <c r="I200" s="29" t="s">
        <v>24</v>
      </c>
      <c r="J200" s="29" t="s">
        <v>25</v>
      </c>
      <c r="K200" s="29" t="s">
        <v>26</v>
      </c>
      <c r="L200" s="119" t="s">
        <v>27</v>
      </c>
      <c r="M200" s="29" t="s">
        <v>721</v>
      </c>
      <c r="N200" s="29" t="s">
        <v>739</v>
      </c>
      <c r="O200" s="146"/>
      <c r="P200" s="19" t="s">
        <v>37</v>
      </c>
    </row>
    <row r="201" spans="1:16" s="2" customFormat="1">
      <c r="A201" s="116"/>
      <c r="B201" s="26"/>
      <c r="C201" s="26" t="s">
        <v>729</v>
      </c>
      <c r="D201" s="118" t="s">
        <v>39</v>
      </c>
      <c r="E201" s="29" t="s">
        <v>44</v>
      </c>
      <c r="F201" s="26" t="s">
        <v>23</v>
      </c>
      <c r="G201" s="124">
        <v>36782</v>
      </c>
      <c r="H201" s="125">
        <f t="shared" ca="1" si="3"/>
        <v>26</v>
      </c>
      <c r="I201" s="29" t="s">
        <v>45</v>
      </c>
      <c r="J201" s="29" t="s">
        <v>25</v>
      </c>
      <c r="K201" s="29" t="s">
        <v>26</v>
      </c>
      <c r="L201" s="119" t="s">
        <v>27</v>
      </c>
      <c r="M201" s="29" t="s">
        <v>720</v>
      </c>
      <c r="N201" s="29" t="s">
        <v>731</v>
      </c>
      <c r="O201" s="146"/>
      <c r="P201" s="19" t="s">
        <v>37</v>
      </c>
    </row>
    <row r="202" spans="1:16" s="2" customFormat="1">
      <c r="A202" s="116"/>
      <c r="B202" s="26"/>
      <c r="C202" s="26" t="s">
        <v>730</v>
      </c>
      <c r="D202" s="119" t="s">
        <v>39</v>
      </c>
      <c r="E202" s="35" t="s">
        <v>44</v>
      </c>
      <c r="F202" s="26" t="s">
        <v>23</v>
      </c>
      <c r="G202" s="124">
        <v>40293</v>
      </c>
      <c r="H202" s="125">
        <f t="shared" ca="1" si="3"/>
        <v>16</v>
      </c>
      <c r="I202" s="35" t="s">
        <v>45</v>
      </c>
      <c r="J202" s="35" t="s">
        <v>25</v>
      </c>
      <c r="K202" s="35" t="s">
        <v>26</v>
      </c>
      <c r="L202" s="119" t="s">
        <v>27</v>
      </c>
      <c r="M202" s="29" t="s">
        <v>721</v>
      </c>
      <c r="N202" s="26" t="s">
        <v>741</v>
      </c>
      <c r="O202" s="147"/>
      <c r="P202" s="19" t="s">
        <v>37</v>
      </c>
    </row>
    <row r="203" spans="1:16" s="2" customFormat="1">
      <c r="A203" s="145" t="s">
        <v>295</v>
      </c>
      <c r="B203" s="38" t="s">
        <v>723</v>
      </c>
      <c r="C203" s="38" t="s">
        <v>723</v>
      </c>
      <c r="D203" s="24" t="s">
        <v>21</v>
      </c>
      <c r="E203" s="25" t="s">
        <v>22</v>
      </c>
      <c r="F203" s="25" t="s">
        <v>119</v>
      </c>
      <c r="G203" s="51">
        <v>19822</v>
      </c>
      <c r="H203" s="52">
        <f ca="1">INT((TODAY()-G203)/365)</f>
        <v>72</v>
      </c>
      <c r="I203" s="25" t="s">
        <v>24</v>
      </c>
      <c r="J203" s="25" t="s">
        <v>25</v>
      </c>
      <c r="K203" s="25" t="s">
        <v>26</v>
      </c>
      <c r="L203" s="24" t="s">
        <v>27</v>
      </c>
      <c r="M203" s="25" t="s">
        <v>720</v>
      </c>
      <c r="N203" s="25" t="s">
        <v>737</v>
      </c>
      <c r="O203" s="145" t="s">
        <v>30</v>
      </c>
      <c r="P203" s="46" t="s">
        <v>31</v>
      </c>
    </row>
    <row r="204" spans="1:16" s="2" customFormat="1">
      <c r="A204" s="146"/>
      <c r="B204" s="29"/>
      <c r="C204" s="29" t="s">
        <v>724</v>
      </c>
      <c r="D204" s="31" t="s">
        <v>39</v>
      </c>
      <c r="E204" s="29" t="s">
        <v>40</v>
      </c>
      <c r="F204" s="29" t="s">
        <v>725</v>
      </c>
      <c r="G204" s="54">
        <v>20531</v>
      </c>
      <c r="H204" s="55">
        <f t="shared" ca="1" si="3"/>
        <v>70</v>
      </c>
      <c r="I204" s="29" t="s">
        <v>24</v>
      </c>
      <c r="J204" s="29" t="s">
        <v>25</v>
      </c>
      <c r="K204" s="29" t="s">
        <v>26</v>
      </c>
      <c r="L204" s="31" t="s">
        <v>27</v>
      </c>
      <c r="M204" s="25" t="s">
        <v>155</v>
      </c>
      <c r="N204" s="29" t="s">
        <v>726</v>
      </c>
      <c r="O204" s="146"/>
      <c r="P204" s="46" t="s">
        <v>31</v>
      </c>
    </row>
    <row r="205" spans="1:16" s="2" customFormat="1">
      <c r="A205" s="145" t="s">
        <v>301</v>
      </c>
      <c r="B205" s="38" t="s">
        <v>302</v>
      </c>
      <c r="C205" s="38" t="s">
        <v>302</v>
      </c>
      <c r="D205" s="24" t="s">
        <v>39</v>
      </c>
      <c r="E205" s="25" t="s">
        <v>22</v>
      </c>
      <c r="F205" s="25" t="s">
        <v>23</v>
      </c>
      <c r="G205" s="51">
        <v>22792</v>
      </c>
      <c r="H205" s="52">
        <f t="shared" ca="1" si="3"/>
        <v>64</v>
      </c>
      <c r="I205" s="25" t="s">
        <v>53</v>
      </c>
      <c r="J205" s="25" t="s">
        <v>25</v>
      </c>
      <c r="K205" s="25" t="s">
        <v>26</v>
      </c>
      <c r="L205" s="24" t="s">
        <v>27</v>
      </c>
      <c r="M205" s="25" t="s">
        <v>720</v>
      </c>
      <c r="N205" s="25" t="s">
        <v>739</v>
      </c>
      <c r="O205" s="145" t="s">
        <v>36</v>
      </c>
      <c r="P205" s="19" t="s">
        <v>37</v>
      </c>
    </row>
    <row r="206" spans="1:16" s="2" customFormat="1">
      <c r="A206" s="146"/>
      <c r="B206" s="29"/>
      <c r="C206" s="29" t="s">
        <v>303</v>
      </c>
      <c r="D206" s="31" t="s">
        <v>21</v>
      </c>
      <c r="E206" s="29" t="s">
        <v>44</v>
      </c>
      <c r="F206" s="29" t="s">
        <v>23</v>
      </c>
      <c r="G206" s="54">
        <v>35653</v>
      </c>
      <c r="H206" s="55">
        <f t="shared" ca="1" si="3"/>
        <v>29</v>
      </c>
      <c r="I206" s="29" t="s">
        <v>45</v>
      </c>
      <c r="J206" s="29" t="s">
        <v>25</v>
      </c>
      <c r="K206" s="29" t="s">
        <v>26</v>
      </c>
      <c r="L206" s="31" t="s">
        <v>27</v>
      </c>
      <c r="M206" s="29" t="s">
        <v>720</v>
      </c>
      <c r="N206" s="29" t="s">
        <v>731</v>
      </c>
      <c r="O206" s="146"/>
      <c r="P206" s="19" t="s">
        <v>37</v>
      </c>
    </row>
    <row r="207" spans="1:16" s="2" customFormat="1">
      <c r="A207" s="147"/>
      <c r="B207" s="35"/>
      <c r="C207" s="35" t="s">
        <v>304</v>
      </c>
      <c r="D207" s="37" t="s">
        <v>39</v>
      </c>
      <c r="E207" s="35" t="s">
        <v>44</v>
      </c>
      <c r="F207" s="35" t="s">
        <v>23</v>
      </c>
      <c r="G207" s="57">
        <v>37172</v>
      </c>
      <c r="H207" s="58">
        <f t="shared" ca="1" si="3"/>
        <v>25</v>
      </c>
      <c r="I207" s="35" t="s">
        <v>45</v>
      </c>
      <c r="J207" s="35" t="s">
        <v>25</v>
      </c>
      <c r="K207" s="35" t="s">
        <v>26</v>
      </c>
      <c r="L207" s="37" t="s">
        <v>27</v>
      </c>
      <c r="M207" s="35" t="s">
        <v>720</v>
      </c>
      <c r="N207" s="35" t="s">
        <v>741</v>
      </c>
      <c r="O207" s="147"/>
      <c r="P207" s="19" t="s">
        <v>37</v>
      </c>
    </row>
    <row r="208" spans="1:16" s="2" customFormat="1">
      <c r="A208" s="87"/>
      <c r="B208" s="36" t="s">
        <v>305</v>
      </c>
      <c r="C208" s="36" t="s">
        <v>305</v>
      </c>
      <c r="D208" s="37" t="s">
        <v>39</v>
      </c>
      <c r="E208" s="35" t="s">
        <v>40</v>
      </c>
      <c r="F208" s="71" t="s">
        <v>23</v>
      </c>
      <c r="G208" s="57">
        <v>21338</v>
      </c>
      <c r="H208" s="58">
        <f t="shared" ca="1" si="3"/>
        <v>68</v>
      </c>
      <c r="I208" s="35" t="s">
        <v>24</v>
      </c>
      <c r="J208" s="35" t="s">
        <v>25</v>
      </c>
      <c r="K208" s="35" t="s">
        <v>26</v>
      </c>
      <c r="L208" s="37" t="s">
        <v>27</v>
      </c>
      <c r="M208" s="35" t="s">
        <v>98</v>
      </c>
      <c r="N208" s="35" t="s">
        <v>739</v>
      </c>
      <c r="O208" s="87" t="s">
        <v>36</v>
      </c>
      <c r="P208" s="19" t="s">
        <v>37</v>
      </c>
    </row>
    <row r="209" spans="1:16" s="2" customFormat="1">
      <c r="A209" s="145" t="s">
        <v>306</v>
      </c>
      <c r="B209" s="39" t="s">
        <v>307</v>
      </c>
      <c r="C209" s="39" t="s">
        <v>307</v>
      </c>
      <c r="D209" s="24" t="s">
        <v>21</v>
      </c>
      <c r="E209" s="25" t="s">
        <v>22</v>
      </c>
      <c r="F209" s="69" t="s">
        <v>187</v>
      </c>
      <c r="G209" s="57">
        <v>33589</v>
      </c>
      <c r="H209" s="58">
        <f t="shared" ca="1" si="3"/>
        <v>34</v>
      </c>
      <c r="I209" s="25" t="s">
        <v>24</v>
      </c>
      <c r="J209" s="25" t="s">
        <v>25</v>
      </c>
      <c r="K209" s="25" t="s">
        <v>26</v>
      </c>
      <c r="L209" s="24" t="s">
        <v>27</v>
      </c>
      <c r="M209" s="25" t="s">
        <v>204</v>
      </c>
      <c r="N209" s="29" t="s">
        <v>308</v>
      </c>
      <c r="O209" s="145" t="s">
        <v>30</v>
      </c>
      <c r="P209" s="46" t="s">
        <v>31</v>
      </c>
    </row>
    <row r="210" spans="1:16" s="2" customFormat="1">
      <c r="A210" s="146"/>
      <c r="B210" s="29"/>
      <c r="C210" s="30" t="s">
        <v>309</v>
      </c>
      <c r="D210" s="37" t="s">
        <v>39</v>
      </c>
      <c r="E210" s="35" t="s">
        <v>40</v>
      </c>
      <c r="F210" s="70" t="s">
        <v>23</v>
      </c>
      <c r="G210" s="57">
        <v>33807</v>
      </c>
      <c r="H210" s="58">
        <f t="shared" ca="1" si="3"/>
        <v>34</v>
      </c>
      <c r="I210" s="25" t="s">
        <v>24</v>
      </c>
      <c r="J210" s="25" t="s">
        <v>25</v>
      </c>
      <c r="K210" s="25" t="s">
        <v>26</v>
      </c>
      <c r="L210" s="24" t="s">
        <v>27</v>
      </c>
      <c r="M210" s="25" t="s">
        <v>155</v>
      </c>
      <c r="N210" s="29" t="s">
        <v>310</v>
      </c>
      <c r="O210" s="146"/>
      <c r="P210" s="46" t="s">
        <v>31</v>
      </c>
    </row>
    <row r="211" spans="1:16" s="2" customFormat="1">
      <c r="A211" s="146"/>
      <c r="B211" s="29"/>
      <c r="C211" s="30" t="s">
        <v>311</v>
      </c>
      <c r="D211" s="37" t="s">
        <v>39</v>
      </c>
      <c r="E211" s="35" t="s">
        <v>44</v>
      </c>
      <c r="F211" s="70" t="s">
        <v>48</v>
      </c>
      <c r="G211" s="57">
        <v>42808</v>
      </c>
      <c r="H211" s="58">
        <f t="shared" ca="1" si="3"/>
        <v>9</v>
      </c>
      <c r="I211" s="35" t="s">
        <v>45</v>
      </c>
      <c r="J211" s="35" t="s">
        <v>25</v>
      </c>
      <c r="K211" s="25" t="s">
        <v>26</v>
      </c>
      <c r="L211" s="24" t="s">
        <v>27</v>
      </c>
      <c r="M211" s="35" t="s">
        <v>761</v>
      </c>
      <c r="N211" s="35" t="s">
        <v>741</v>
      </c>
      <c r="O211" s="146"/>
      <c r="P211" s="46" t="s">
        <v>31</v>
      </c>
    </row>
    <row r="212" spans="1:16" s="2" customFormat="1">
      <c r="A212" s="146"/>
      <c r="B212" s="29"/>
      <c r="C212" s="30" t="s">
        <v>312</v>
      </c>
      <c r="D212" s="37" t="s">
        <v>39</v>
      </c>
      <c r="E212" s="35" t="s">
        <v>44</v>
      </c>
      <c r="F212" s="29" t="s">
        <v>48</v>
      </c>
      <c r="G212" s="57">
        <v>43273</v>
      </c>
      <c r="H212" s="58">
        <f t="shared" ca="1" si="3"/>
        <v>8</v>
      </c>
      <c r="I212" s="35" t="s">
        <v>45</v>
      </c>
      <c r="J212" s="35" t="s">
        <v>25</v>
      </c>
      <c r="K212" s="25" t="s">
        <v>26</v>
      </c>
      <c r="L212" s="24" t="s">
        <v>27</v>
      </c>
      <c r="M212" s="35" t="s">
        <v>761</v>
      </c>
      <c r="N212" s="35" t="s">
        <v>741</v>
      </c>
      <c r="O212" s="146"/>
      <c r="P212" s="46" t="s">
        <v>31</v>
      </c>
    </row>
    <row r="213" spans="1:16" s="2" customFormat="1" ht="15" customHeight="1">
      <c r="A213" s="155" t="s">
        <v>313</v>
      </c>
      <c r="B213" s="39" t="s">
        <v>314</v>
      </c>
      <c r="C213" s="39" t="s">
        <v>314</v>
      </c>
      <c r="D213" s="24" t="s">
        <v>21</v>
      </c>
      <c r="E213" s="25" t="s">
        <v>22</v>
      </c>
      <c r="F213" s="69" t="s">
        <v>23</v>
      </c>
      <c r="G213" s="51">
        <v>27220</v>
      </c>
      <c r="H213" s="52">
        <f ca="1">INT((TODAY()-G213)/365)</f>
        <v>52</v>
      </c>
      <c r="I213" s="25" t="s">
        <v>24</v>
      </c>
      <c r="J213" s="25" t="s">
        <v>25</v>
      </c>
      <c r="K213" s="25" t="s">
        <v>26</v>
      </c>
      <c r="L213" s="24" t="s">
        <v>27</v>
      </c>
      <c r="M213" s="25" t="s">
        <v>98</v>
      </c>
      <c r="N213" s="25" t="s">
        <v>740</v>
      </c>
      <c r="O213" s="145" t="s">
        <v>30</v>
      </c>
      <c r="P213" s="19" t="s">
        <v>37</v>
      </c>
    </row>
    <row r="214" spans="1:16" s="2" customFormat="1">
      <c r="A214" s="156"/>
      <c r="B214" s="29"/>
      <c r="C214" s="30" t="s">
        <v>315</v>
      </c>
      <c r="D214" s="31" t="s">
        <v>39</v>
      </c>
      <c r="E214" s="29" t="s">
        <v>40</v>
      </c>
      <c r="F214" s="70" t="s">
        <v>125</v>
      </c>
      <c r="G214" s="54">
        <v>27315</v>
      </c>
      <c r="H214" s="55">
        <f ca="1">INT((TODAY()-G214)/365)</f>
        <v>52</v>
      </c>
      <c r="I214" s="29" t="s">
        <v>24</v>
      </c>
      <c r="J214" s="29" t="s">
        <v>25</v>
      </c>
      <c r="K214" s="29" t="s">
        <v>26</v>
      </c>
      <c r="L214" s="31" t="s">
        <v>27</v>
      </c>
      <c r="M214" s="29" t="s">
        <v>721</v>
      </c>
      <c r="N214" s="29" t="s">
        <v>739</v>
      </c>
      <c r="O214" s="146"/>
      <c r="P214" s="19" t="s">
        <v>37</v>
      </c>
    </row>
    <row r="215" spans="1:16" s="2" customFormat="1">
      <c r="A215" s="156"/>
      <c r="B215" s="29"/>
      <c r="C215" s="30" t="s">
        <v>316</v>
      </c>
      <c r="D215" s="31" t="s">
        <v>21</v>
      </c>
      <c r="E215" s="29" t="s">
        <v>44</v>
      </c>
      <c r="F215" s="29" t="s">
        <v>23</v>
      </c>
      <c r="G215" s="54">
        <v>34895</v>
      </c>
      <c r="H215" s="55">
        <f ca="1">INT((TODAY()-G215)/365)</f>
        <v>31</v>
      </c>
      <c r="I215" s="29" t="s">
        <v>45</v>
      </c>
      <c r="J215" s="29" t="s">
        <v>25</v>
      </c>
      <c r="K215" s="29" t="s">
        <v>26</v>
      </c>
      <c r="L215" s="31" t="s">
        <v>27</v>
      </c>
      <c r="M215" s="29" t="s">
        <v>721</v>
      </c>
      <c r="N215" s="29" t="s">
        <v>738</v>
      </c>
      <c r="O215" s="146"/>
      <c r="P215" s="19" t="s">
        <v>37</v>
      </c>
    </row>
    <row r="216" spans="1:16" s="2" customFormat="1">
      <c r="A216" s="157"/>
      <c r="B216" s="35"/>
      <c r="C216" s="36" t="s">
        <v>318</v>
      </c>
      <c r="D216" s="37" t="s">
        <v>21</v>
      </c>
      <c r="E216" s="35" t="s">
        <v>44</v>
      </c>
      <c r="F216" s="35" t="s">
        <v>23</v>
      </c>
      <c r="G216" s="57">
        <v>40962</v>
      </c>
      <c r="H216" s="58">
        <f ca="1">INT((TODAY()-G216)/365)</f>
        <v>14</v>
      </c>
      <c r="I216" s="35" t="s">
        <v>45</v>
      </c>
      <c r="J216" s="35" t="s">
        <v>25</v>
      </c>
      <c r="K216" s="35" t="s">
        <v>26</v>
      </c>
      <c r="L216" s="37" t="s">
        <v>27</v>
      </c>
      <c r="M216" s="35" t="s">
        <v>98</v>
      </c>
      <c r="N216" s="35" t="s">
        <v>741</v>
      </c>
      <c r="O216" s="147"/>
      <c r="P216" s="19"/>
    </row>
    <row r="217" spans="1:16" s="2" customFormat="1">
      <c r="A217" s="145" t="s">
        <v>319</v>
      </c>
      <c r="B217" s="38" t="s">
        <v>320</v>
      </c>
      <c r="C217" s="38" t="s">
        <v>320</v>
      </c>
      <c r="D217" s="24" t="s">
        <v>21</v>
      </c>
      <c r="E217" s="25" t="s">
        <v>22</v>
      </c>
      <c r="F217" s="25" t="s">
        <v>119</v>
      </c>
      <c r="G217" s="51">
        <v>34745</v>
      </c>
      <c r="H217" s="52">
        <f t="shared" ca="1" si="3"/>
        <v>31</v>
      </c>
      <c r="I217" s="25" t="s">
        <v>24</v>
      </c>
      <c r="J217" s="25" t="s">
        <v>25</v>
      </c>
      <c r="K217" s="25" t="s">
        <v>321</v>
      </c>
      <c r="L217" s="24" t="s">
        <v>27</v>
      </c>
      <c r="M217" s="25" t="s">
        <v>204</v>
      </c>
      <c r="N217" s="25" t="s">
        <v>738</v>
      </c>
      <c r="O217" s="145" t="s">
        <v>36</v>
      </c>
      <c r="P217" s="19" t="s">
        <v>37</v>
      </c>
    </row>
    <row r="218" spans="1:16" s="2" customFormat="1">
      <c r="A218" s="146"/>
      <c r="B218" s="29"/>
      <c r="C218" s="29" t="s">
        <v>322</v>
      </c>
      <c r="D218" s="31" t="s">
        <v>39</v>
      </c>
      <c r="E218" s="29" t="s">
        <v>40</v>
      </c>
      <c r="F218" s="29" t="s">
        <v>97</v>
      </c>
      <c r="G218" s="54">
        <v>34518</v>
      </c>
      <c r="H218" s="55">
        <f t="shared" ca="1" si="3"/>
        <v>32</v>
      </c>
      <c r="I218" s="29" t="s">
        <v>24</v>
      </c>
      <c r="J218" s="29" t="s">
        <v>25</v>
      </c>
      <c r="K218" s="29" t="s">
        <v>26</v>
      </c>
      <c r="L218" s="31" t="s">
        <v>27</v>
      </c>
      <c r="M218" s="29" t="s">
        <v>204</v>
      </c>
      <c r="N218" s="29" t="s">
        <v>323</v>
      </c>
      <c r="O218" s="146"/>
      <c r="P218" s="19" t="s">
        <v>37</v>
      </c>
    </row>
    <row r="219" spans="1:16" s="2" customFormat="1">
      <c r="A219" s="146"/>
      <c r="B219" s="29"/>
      <c r="C219" s="29" t="s">
        <v>324</v>
      </c>
      <c r="D219" s="31" t="s">
        <v>39</v>
      </c>
      <c r="E219" s="29" t="s">
        <v>44</v>
      </c>
      <c r="F219" s="29" t="s">
        <v>23</v>
      </c>
      <c r="G219" s="54">
        <v>44092</v>
      </c>
      <c r="H219" s="55">
        <f t="shared" ca="1" si="3"/>
        <v>6</v>
      </c>
      <c r="I219" s="29" t="s">
        <v>45</v>
      </c>
      <c r="J219" s="29" t="s">
        <v>25</v>
      </c>
      <c r="K219" s="29" t="s">
        <v>26</v>
      </c>
      <c r="L219" s="31" t="s">
        <v>27</v>
      </c>
      <c r="M219" s="29" t="s">
        <v>719</v>
      </c>
      <c r="N219" s="29" t="s">
        <v>731</v>
      </c>
      <c r="O219" s="146"/>
      <c r="P219" s="19" t="s">
        <v>37</v>
      </c>
    </row>
    <row r="220" spans="1:16" s="2" customFormat="1">
      <c r="A220" s="147"/>
      <c r="B220" s="35"/>
      <c r="C220" s="36" t="s">
        <v>325</v>
      </c>
      <c r="D220" s="37" t="s">
        <v>39</v>
      </c>
      <c r="E220" s="35" t="s">
        <v>52</v>
      </c>
      <c r="F220" s="35" t="s">
        <v>97</v>
      </c>
      <c r="G220" s="57">
        <v>24610</v>
      </c>
      <c r="H220" s="58">
        <f t="shared" ca="1" si="3"/>
        <v>59</v>
      </c>
      <c r="I220" s="35" t="s">
        <v>53</v>
      </c>
      <c r="J220" s="35" t="s">
        <v>25</v>
      </c>
      <c r="K220" s="35" t="s">
        <v>26</v>
      </c>
      <c r="L220" s="37" t="s">
        <v>27</v>
      </c>
      <c r="M220" s="35" t="s">
        <v>98</v>
      </c>
      <c r="N220" s="35" t="s">
        <v>739</v>
      </c>
      <c r="O220" s="147"/>
      <c r="P220" s="19" t="s">
        <v>37</v>
      </c>
    </row>
    <row r="221" spans="1:16" s="2" customFormat="1">
      <c r="A221" s="145" t="s">
        <v>326</v>
      </c>
      <c r="B221" s="38" t="s">
        <v>327</v>
      </c>
      <c r="C221" s="39" t="s">
        <v>327</v>
      </c>
      <c r="D221" s="24" t="s">
        <v>21</v>
      </c>
      <c r="E221" s="25" t="s">
        <v>22</v>
      </c>
      <c r="F221" s="25" t="s">
        <v>23</v>
      </c>
      <c r="G221" s="51">
        <v>27501</v>
      </c>
      <c r="H221" s="52">
        <f t="shared" ca="1" si="3"/>
        <v>51</v>
      </c>
      <c r="I221" s="25" t="s">
        <v>24</v>
      </c>
      <c r="J221" s="25" t="s">
        <v>25</v>
      </c>
      <c r="K221" s="25" t="s">
        <v>26</v>
      </c>
      <c r="L221" s="24" t="s">
        <v>27</v>
      </c>
      <c r="M221" s="25" t="s">
        <v>720</v>
      </c>
      <c r="N221" s="25" t="s">
        <v>738</v>
      </c>
      <c r="O221" s="145" t="s">
        <v>36</v>
      </c>
      <c r="P221" s="46" t="s">
        <v>31</v>
      </c>
    </row>
    <row r="222" spans="1:16" s="2" customFormat="1">
      <c r="A222" s="146"/>
      <c r="B222" s="29"/>
      <c r="C222" s="30" t="s">
        <v>328</v>
      </c>
      <c r="D222" s="118" t="s">
        <v>39</v>
      </c>
      <c r="E222" s="29" t="s">
        <v>40</v>
      </c>
      <c r="F222" s="29" t="s">
        <v>23</v>
      </c>
      <c r="G222" s="54">
        <v>28556</v>
      </c>
      <c r="H222" s="55">
        <f t="shared" ref="H222:H223" ca="1" si="12">INT((TODAY()-G222)/365)</f>
        <v>48</v>
      </c>
      <c r="I222" s="29" t="s">
        <v>24</v>
      </c>
      <c r="J222" s="29" t="s">
        <v>25</v>
      </c>
      <c r="K222" s="29" t="s">
        <v>26</v>
      </c>
      <c r="L222" s="118" t="s">
        <v>27</v>
      </c>
      <c r="M222" s="29" t="s">
        <v>721</v>
      </c>
      <c r="N222" s="29" t="s">
        <v>739</v>
      </c>
      <c r="O222" s="146"/>
      <c r="P222" s="46" t="s">
        <v>31</v>
      </c>
    </row>
    <row r="223" spans="1:16" s="2" customFormat="1">
      <c r="A223" s="146"/>
      <c r="B223" s="29"/>
      <c r="C223" s="30" t="s">
        <v>699</v>
      </c>
      <c r="D223" s="118" t="s">
        <v>39</v>
      </c>
      <c r="E223" s="29" t="s">
        <v>44</v>
      </c>
      <c r="F223" s="29" t="s">
        <v>23</v>
      </c>
      <c r="G223" s="54">
        <v>37864</v>
      </c>
      <c r="H223" s="55">
        <f t="shared" ca="1" si="12"/>
        <v>23</v>
      </c>
      <c r="I223" s="29" t="s">
        <v>45</v>
      </c>
      <c r="J223" s="29" t="s">
        <v>25</v>
      </c>
      <c r="K223" s="29" t="s">
        <v>26</v>
      </c>
      <c r="L223" s="118" t="s">
        <v>27</v>
      </c>
      <c r="M223" s="25" t="s">
        <v>720</v>
      </c>
      <c r="N223" s="29" t="s">
        <v>741</v>
      </c>
      <c r="O223" s="146"/>
      <c r="P223" s="46" t="s">
        <v>31</v>
      </c>
    </row>
    <row r="224" spans="1:16" s="2" customFormat="1">
      <c r="A224" s="146"/>
      <c r="B224" s="29"/>
      <c r="C224" s="30" t="s">
        <v>700</v>
      </c>
      <c r="D224" s="31" t="s">
        <v>21</v>
      </c>
      <c r="E224" s="29" t="s">
        <v>44</v>
      </c>
      <c r="F224" s="29" t="s">
        <v>23</v>
      </c>
      <c r="G224" s="54">
        <v>44360</v>
      </c>
      <c r="H224" s="55">
        <f t="shared" ca="1" si="3"/>
        <v>5</v>
      </c>
      <c r="I224" s="29" t="s">
        <v>45</v>
      </c>
      <c r="J224" s="29" t="s">
        <v>25</v>
      </c>
      <c r="K224" s="29" t="s">
        <v>26</v>
      </c>
      <c r="L224" s="31" t="s">
        <v>27</v>
      </c>
      <c r="M224" s="29" t="s">
        <v>719</v>
      </c>
      <c r="N224" s="29" t="s">
        <v>731</v>
      </c>
      <c r="O224" s="146"/>
      <c r="P224" s="46" t="s">
        <v>31</v>
      </c>
    </row>
    <row r="225" spans="1:253" s="2" customFormat="1">
      <c r="A225" s="88" t="s">
        <v>329</v>
      </c>
      <c r="B225" s="107"/>
      <c r="C225" s="107"/>
      <c r="D225" s="108"/>
      <c r="E225" s="109"/>
      <c r="F225" s="109"/>
      <c r="G225" s="110"/>
      <c r="H225" s="115"/>
      <c r="I225" s="109"/>
      <c r="J225" s="109"/>
      <c r="K225" s="109"/>
      <c r="L225" s="108"/>
      <c r="M225" s="109"/>
      <c r="N225" s="109"/>
      <c r="O225" s="85" t="s">
        <v>58</v>
      </c>
      <c r="P225" s="46" t="s">
        <v>31</v>
      </c>
    </row>
    <row r="226" spans="1:253" s="2" customFormat="1">
      <c r="A226" s="145" t="s">
        <v>330</v>
      </c>
      <c r="B226" s="38" t="s">
        <v>331</v>
      </c>
      <c r="C226" s="38" t="s">
        <v>331</v>
      </c>
      <c r="D226" s="24" t="s">
        <v>21</v>
      </c>
      <c r="E226" s="25" t="s">
        <v>22</v>
      </c>
      <c r="F226" s="25" t="s">
        <v>97</v>
      </c>
      <c r="G226" s="51">
        <v>23838</v>
      </c>
      <c r="H226" s="52">
        <f t="shared" ca="1" si="3"/>
        <v>61</v>
      </c>
      <c r="I226" s="25" t="s">
        <v>24</v>
      </c>
      <c r="J226" s="25" t="s">
        <v>25</v>
      </c>
      <c r="K226" s="25" t="s">
        <v>26</v>
      </c>
      <c r="L226" s="24" t="s">
        <v>27</v>
      </c>
      <c r="M226" s="25" t="s">
        <v>720</v>
      </c>
      <c r="N226" s="25" t="s">
        <v>737</v>
      </c>
      <c r="O226" s="145" t="s">
        <v>36</v>
      </c>
      <c r="P226" s="19" t="s">
        <v>37</v>
      </c>
    </row>
    <row r="227" spans="1:253" s="2" customFormat="1">
      <c r="A227" s="146"/>
      <c r="B227" s="29"/>
      <c r="C227" s="29" t="s">
        <v>332</v>
      </c>
      <c r="D227" s="31" t="s">
        <v>39</v>
      </c>
      <c r="E227" s="29" t="s">
        <v>40</v>
      </c>
      <c r="F227" s="29" t="s">
        <v>23</v>
      </c>
      <c r="G227" s="54">
        <v>25009</v>
      </c>
      <c r="H227" s="55">
        <f t="shared" ca="1" si="3"/>
        <v>58</v>
      </c>
      <c r="I227" s="29" t="s">
        <v>24</v>
      </c>
      <c r="J227" s="29" t="s">
        <v>25</v>
      </c>
      <c r="K227" s="29" t="s">
        <v>26</v>
      </c>
      <c r="L227" s="31" t="s">
        <v>27</v>
      </c>
      <c r="M227" s="29" t="s">
        <v>720</v>
      </c>
      <c r="N227" s="29" t="s">
        <v>739</v>
      </c>
      <c r="O227" s="146"/>
      <c r="P227" s="19" t="s">
        <v>37</v>
      </c>
    </row>
    <row r="228" spans="1:253" s="2" customFormat="1">
      <c r="A228" s="146"/>
      <c r="B228" s="35"/>
      <c r="C228" s="35" t="s">
        <v>334</v>
      </c>
      <c r="D228" s="119" t="s">
        <v>21</v>
      </c>
      <c r="E228" s="35" t="s">
        <v>44</v>
      </c>
      <c r="F228" s="35" t="s">
        <v>23</v>
      </c>
      <c r="G228" s="57">
        <v>38549</v>
      </c>
      <c r="H228" s="58">
        <f t="shared" ref="H228" ca="1" si="13">INT((TODAY()-G228)/365)</f>
        <v>21</v>
      </c>
      <c r="I228" s="35" t="s">
        <v>45</v>
      </c>
      <c r="J228" s="35" t="s">
        <v>25</v>
      </c>
      <c r="K228" s="35" t="s">
        <v>26</v>
      </c>
      <c r="L228" s="119" t="s">
        <v>27</v>
      </c>
      <c r="M228" s="35" t="s">
        <v>763</v>
      </c>
      <c r="N228" s="35" t="s">
        <v>741</v>
      </c>
      <c r="O228" s="146"/>
      <c r="P228" s="19" t="s">
        <v>37</v>
      </c>
    </row>
    <row r="229" spans="1:253" s="2" customFormat="1">
      <c r="A229" s="146"/>
      <c r="B229" s="29"/>
      <c r="C229" s="29" t="s">
        <v>333</v>
      </c>
      <c r="D229" s="31" t="s">
        <v>21</v>
      </c>
      <c r="E229" s="25" t="s">
        <v>22</v>
      </c>
      <c r="F229" s="29" t="s">
        <v>23</v>
      </c>
      <c r="G229" s="54">
        <v>35850</v>
      </c>
      <c r="H229" s="55">
        <f t="shared" ca="1" si="3"/>
        <v>28</v>
      </c>
      <c r="I229" s="29" t="s">
        <v>24</v>
      </c>
      <c r="J229" s="29" t="s">
        <v>25</v>
      </c>
      <c r="K229" s="29" t="s">
        <v>26</v>
      </c>
      <c r="L229" s="31" t="s">
        <v>27</v>
      </c>
      <c r="M229" s="25" t="s">
        <v>204</v>
      </c>
      <c r="N229" s="29" t="s">
        <v>738</v>
      </c>
      <c r="O229" s="146"/>
      <c r="P229" s="19" t="s">
        <v>37</v>
      </c>
    </row>
    <row r="230" spans="1:253" s="2" customFormat="1">
      <c r="A230" s="146"/>
      <c r="B230" s="91"/>
      <c r="C230" s="91" t="s">
        <v>722</v>
      </c>
      <c r="D230" s="97" t="s">
        <v>39</v>
      </c>
      <c r="E230" s="29" t="s">
        <v>40</v>
      </c>
      <c r="F230" s="29" t="s">
        <v>23</v>
      </c>
      <c r="G230" s="98">
        <v>36467</v>
      </c>
      <c r="H230" s="104">
        <f t="shared" ca="1" si="3"/>
        <v>26</v>
      </c>
      <c r="I230" s="91" t="s">
        <v>24</v>
      </c>
      <c r="J230" s="29" t="s">
        <v>25</v>
      </c>
      <c r="K230" s="29" t="s">
        <v>26</v>
      </c>
      <c r="L230" s="118" t="s">
        <v>27</v>
      </c>
      <c r="M230" s="25" t="s">
        <v>155</v>
      </c>
      <c r="N230" s="29" t="s">
        <v>739</v>
      </c>
      <c r="O230" s="146"/>
      <c r="P230" s="19" t="s">
        <v>37</v>
      </c>
    </row>
    <row r="231" spans="1:253" s="2" customFormat="1">
      <c r="A231" s="154" t="s">
        <v>335</v>
      </c>
      <c r="B231" s="39" t="s">
        <v>336</v>
      </c>
      <c r="C231" s="39" t="s">
        <v>336</v>
      </c>
      <c r="D231" s="24" t="s">
        <v>21</v>
      </c>
      <c r="E231" s="25" t="s">
        <v>22</v>
      </c>
      <c r="F231" s="25" t="s">
        <v>23</v>
      </c>
      <c r="G231" s="51">
        <v>30699</v>
      </c>
      <c r="H231" s="52">
        <f t="shared" ca="1" si="3"/>
        <v>42</v>
      </c>
      <c r="I231" s="25" t="s">
        <v>24</v>
      </c>
      <c r="J231" s="25" t="s">
        <v>25</v>
      </c>
      <c r="K231" s="25" t="s">
        <v>26</v>
      </c>
      <c r="L231" s="24" t="s">
        <v>27</v>
      </c>
      <c r="M231" s="25" t="s">
        <v>720</v>
      </c>
      <c r="N231" s="25" t="s">
        <v>737</v>
      </c>
      <c r="O231" s="154" t="s">
        <v>36</v>
      </c>
      <c r="P231" s="46" t="s">
        <v>31</v>
      </c>
    </row>
    <row r="232" spans="1:253" s="2" customFormat="1">
      <c r="A232" s="154"/>
      <c r="B232" s="29"/>
      <c r="C232" s="30" t="s">
        <v>337</v>
      </c>
      <c r="D232" s="31" t="s">
        <v>39</v>
      </c>
      <c r="E232" s="29" t="s">
        <v>40</v>
      </c>
      <c r="F232" s="29" t="s">
        <v>23</v>
      </c>
      <c r="G232" s="54">
        <v>31072</v>
      </c>
      <c r="H232" s="55">
        <f t="shared" ca="1" si="3"/>
        <v>41</v>
      </c>
      <c r="I232" s="29" t="s">
        <v>24</v>
      </c>
      <c r="J232" s="29" t="s">
        <v>25</v>
      </c>
      <c r="K232" s="29" t="s">
        <v>26</v>
      </c>
      <c r="L232" s="31" t="s">
        <v>27</v>
      </c>
      <c r="M232" s="29" t="s">
        <v>720</v>
      </c>
      <c r="N232" s="29" t="s">
        <v>739</v>
      </c>
      <c r="O232" s="154"/>
      <c r="P232" s="46" t="s">
        <v>31</v>
      </c>
    </row>
    <row r="233" spans="1:253" s="2" customFormat="1">
      <c r="A233" s="154"/>
      <c r="B233" s="29"/>
      <c r="C233" s="30" t="s">
        <v>338</v>
      </c>
      <c r="D233" s="31" t="s">
        <v>21</v>
      </c>
      <c r="E233" s="29" t="s">
        <v>44</v>
      </c>
      <c r="F233" s="29" t="s">
        <v>23</v>
      </c>
      <c r="G233" s="54">
        <v>40202</v>
      </c>
      <c r="H233" s="55">
        <f t="shared" ca="1" si="3"/>
        <v>16</v>
      </c>
      <c r="I233" s="29" t="s">
        <v>45</v>
      </c>
      <c r="J233" s="29" t="s">
        <v>25</v>
      </c>
      <c r="K233" s="29" t="s">
        <v>26</v>
      </c>
      <c r="L233" s="31" t="s">
        <v>27</v>
      </c>
      <c r="M233" s="29" t="s">
        <v>98</v>
      </c>
      <c r="N233" s="29" t="s">
        <v>741</v>
      </c>
      <c r="O233" s="154"/>
      <c r="P233" s="46" t="s">
        <v>31</v>
      </c>
    </row>
    <row r="234" spans="1:253" s="2" customFormat="1">
      <c r="A234" s="154"/>
      <c r="B234" s="29"/>
      <c r="C234" s="30" t="s">
        <v>339</v>
      </c>
      <c r="D234" s="31" t="s">
        <v>39</v>
      </c>
      <c r="E234" s="29" t="s">
        <v>44</v>
      </c>
      <c r="F234" s="29" t="s">
        <v>23</v>
      </c>
      <c r="G234" s="54">
        <v>40859</v>
      </c>
      <c r="H234" s="55">
        <f t="shared" ca="1" si="3"/>
        <v>14</v>
      </c>
      <c r="I234" s="29" t="s">
        <v>45</v>
      </c>
      <c r="J234" s="29" t="s">
        <v>25</v>
      </c>
      <c r="K234" s="29" t="s">
        <v>26</v>
      </c>
      <c r="L234" s="31" t="s">
        <v>27</v>
      </c>
      <c r="M234" s="35" t="s">
        <v>98</v>
      </c>
      <c r="N234" s="29" t="s">
        <v>741</v>
      </c>
      <c r="O234" s="146"/>
      <c r="P234" s="46" t="s">
        <v>31</v>
      </c>
    </row>
    <row r="235" spans="1:253" s="2" customFormat="1">
      <c r="A235" s="154"/>
      <c r="B235" s="29"/>
      <c r="C235" s="30" t="s">
        <v>340</v>
      </c>
      <c r="D235" s="31" t="s">
        <v>21</v>
      </c>
      <c r="E235" s="29" t="s">
        <v>44</v>
      </c>
      <c r="F235" s="29" t="s">
        <v>23</v>
      </c>
      <c r="G235" s="54">
        <v>41786</v>
      </c>
      <c r="H235" s="55">
        <f ca="1">INT((TODAY()-G235)/365)</f>
        <v>12</v>
      </c>
      <c r="I235" s="29" t="s">
        <v>45</v>
      </c>
      <c r="J235" s="29" t="s">
        <v>25</v>
      </c>
      <c r="K235" s="29" t="s">
        <v>26</v>
      </c>
      <c r="L235" s="31" t="s">
        <v>27</v>
      </c>
      <c r="M235" s="35" t="s">
        <v>98</v>
      </c>
      <c r="N235" s="29" t="s">
        <v>741</v>
      </c>
      <c r="O235" s="146"/>
      <c r="P235" s="46" t="s">
        <v>31</v>
      </c>
    </row>
    <row r="236" spans="1:253" s="2" customFormat="1">
      <c r="A236" s="154"/>
      <c r="B236" s="29"/>
      <c r="C236" s="30" t="s">
        <v>341</v>
      </c>
      <c r="D236" s="31" t="s">
        <v>39</v>
      </c>
      <c r="E236" s="29" t="s">
        <v>44</v>
      </c>
      <c r="F236" s="29" t="s">
        <v>23</v>
      </c>
      <c r="G236" s="54">
        <v>43206</v>
      </c>
      <c r="H236" s="55">
        <f ca="1">INT((TODAY()-G236)/365)</f>
        <v>8</v>
      </c>
      <c r="I236" s="29" t="s">
        <v>45</v>
      </c>
      <c r="J236" s="29" t="s">
        <v>25</v>
      </c>
      <c r="K236" s="29" t="s">
        <v>26</v>
      </c>
      <c r="L236" s="31" t="s">
        <v>27</v>
      </c>
      <c r="M236" s="29" t="s">
        <v>719</v>
      </c>
      <c r="N236" s="29" t="s">
        <v>731</v>
      </c>
      <c r="O236" s="146"/>
      <c r="P236" s="46" t="s">
        <v>31</v>
      </c>
    </row>
    <row r="237" spans="1:253" s="2" customFormat="1">
      <c r="A237" s="154"/>
      <c r="B237" s="35"/>
      <c r="C237" s="36" t="s">
        <v>342</v>
      </c>
      <c r="D237" s="37" t="s">
        <v>39</v>
      </c>
      <c r="E237" s="35" t="s">
        <v>52</v>
      </c>
      <c r="F237" s="35" t="s">
        <v>23</v>
      </c>
      <c r="G237" s="57">
        <v>20158</v>
      </c>
      <c r="H237" s="58">
        <f ca="1">INT((TODAY()-G237)/365)</f>
        <v>71</v>
      </c>
      <c r="I237" s="35" t="s">
        <v>53</v>
      </c>
      <c r="J237" s="35" t="s">
        <v>25</v>
      </c>
      <c r="K237" s="35" t="s">
        <v>26</v>
      </c>
      <c r="L237" s="37" t="s">
        <v>27</v>
      </c>
      <c r="M237" s="35" t="s">
        <v>98</v>
      </c>
      <c r="N237" s="35" t="s">
        <v>739</v>
      </c>
      <c r="O237" s="147"/>
      <c r="P237" s="46" t="s">
        <v>31</v>
      </c>
    </row>
    <row r="238" spans="1:253">
      <c r="D238" s="4">
        <f>COUNTA(D6:D237)</f>
        <v>226</v>
      </c>
      <c r="E238" s="111"/>
      <c r="F238" s="112"/>
    </row>
    <row r="239" spans="1:253" s="4" customFormat="1">
      <c r="B239" s="3"/>
      <c r="C239" s="81"/>
      <c r="E239" s="113" t="s">
        <v>21</v>
      </c>
      <c r="F239" s="114">
        <f>COUNTIF($D$6:$D$237,"l")</f>
        <v>116</v>
      </c>
      <c r="I239" s="3"/>
      <c r="J239" s="3"/>
      <c r="K239" s="3"/>
      <c r="M239" s="3"/>
      <c r="N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  <c r="IA239" s="3"/>
      <c r="IB239" s="3"/>
      <c r="IC239" s="3"/>
      <c r="ID239" s="3"/>
      <c r="IE239" s="3"/>
      <c r="IF239" s="3"/>
      <c r="IG239" s="3"/>
      <c r="IH239" s="3"/>
      <c r="II239" s="3"/>
      <c r="IJ239" s="3"/>
      <c r="IK239" s="3"/>
      <c r="IL239" s="3"/>
      <c r="IM239" s="3"/>
      <c r="IN239" s="3"/>
      <c r="IO239" s="3"/>
      <c r="IP239" s="3"/>
      <c r="IQ239" s="3"/>
      <c r="IR239" s="3"/>
      <c r="IS239" s="3"/>
    </row>
    <row r="240" spans="1:253" s="4" customFormat="1">
      <c r="B240" s="3"/>
      <c r="C240" s="81"/>
      <c r="E240" s="113" t="s">
        <v>39</v>
      </c>
      <c r="F240" s="114">
        <f>COUNTIF($D$6:$D$237,"P")</f>
        <v>110</v>
      </c>
      <c r="I240" s="3"/>
      <c r="J240" s="3"/>
      <c r="K240" s="3"/>
      <c r="M240" s="3"/>
      <c r="N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  <c r="IA240" s="3"/>
      <c r="IB240" s="3"/>
      <c r="IC240" s="3"/>
      <c r="ID240" s="3"/>
      <c r="IE240" s="3"/>
      <c r="IF240" s="3"/>
      <c r="IG240" s="3"/>
      <c r="IH240" s="3"/>
      <c r="II240" s="3"/>
      <c r="IJ240" s="3"/>
      <c r="IK240" s="3"/>
      <c r="IL240" s="3"/>
      <c r="IM240" s="3"/>
      <c r="IN240" s="3"/>
      <c r="IO240" s="3"/>
      <c r="IP240" s="3"/>
      <c r="IQ240" s="3"/>
      <c r="IR240" s="3"/>
      <c r="IS240" s="3"/>
    </row>
    <row r="241" spans="2:253">
      <c r="E241" s="111"/>
      <c r="F241" s="112"/>
    </row>
    <row r="242" spans="2:253" s="4" customFormat="1">
      <c r="B242" s="3"/>
      <c r="C242" s="81"/>
      <c r="E242" s="3"/>
      <c r="I242" s="3"/>
      <c r="J242" s="3"/>
      <c r="K242" s="3"/>
      <c r="M242" s="3"/>
      <c r="N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  <c r="IA242" s="3"/>
      <c r="IB242" s="3"/>
      <c r="IC242" s="3"/>
      <c r="ID242" s="3"/>
      <c r="IE242" s="3"/>
      <c r="IF242" s="3"/>
      <c r="IG242" s="3"/>
      <c r="IH242" s="3"/>
      <c r="II242" s="3"/>
      <c r="IJ242" s="3"/>
      <c r="IK242" s="3"/>
      <c r="IL242" s="3"/>
      <c r="IM242" s="3"/>
      <c r="IN242" s="3"/>
      <c r="IO242" s="3"/>
      <c r="IP242" s="3"/>
      <c r="IQ242" s="3"/>
      <c r="IR242" s="3"/>
      <c r="IS242" s="3"/>
    </row>
  </sheetData>
  <autoFilter ref="A4:P240" xr:uid="{00000000-0009-0000-0000-000000000000}"/>
  <mergeCells count="126">
    <mergeCell ref="O91:O93"/>
    <mergeCell ref="O94:O97"/>
    <mergeCell ref="O98:O100"/>
    <mergeCell ref="O49:O53"/>
    <mergeCell ref="O54:O57"/>
    <mergeCell ref="O58:O62"/>
    <mergeCell ref="O63:O67"/>
    <mergeCell ref="O68:O71"/>
    <mergeCell ref="O142:O148"/>
    <mergeCell ref="O213:O216"/>
    <mergeCell ref="O101:O106"/>
    <mergeCell ref="O117:O120"/>
    <mergeCell ref="O131:O132"/>
    <mergeCell ref="O153:O160"/>
    <mergeCell ref="O168:O169"/>
    <mergeCell ref="A153:A160"/>
    <mergeCell ref="O127:O129"/>
    <mergeCell ref="A127:A129"/>
    <mergeCell ref="O174:O177"/>
    <mergeCell ref="O199:O202"/>
    <mergeCell ref="O178:O181"/>
    <mergeCell ref="O107:O112"/>
    <mergeCell ref="O221:O224"/>
    <mergeCell ref="O226:O230"/>
    <mergeCell ref="O231:O237"/>
    <mergeCell ref="P4:P5"/>
    <mergeCell ref="O193:O194"/>
    <mergeCell ref="O195:O198"/>
    <mergeCell ref="O203:O204"/>
    <mergeCell ref="O205:O207"/>
    <mergeCell ref="O209:O212"/>
    <mergeCell ref="O217:O220"/>
    <mergeCell ref="O161:O164"/>
    <mergeCell ref="O165:O167"/>
    <mergeCell ref="O170:O173"/>
    <mergeCell ref="O182:O185"/>
    <mergeCell ref="O186:O190"/>
    <mergeCell ref="O113:O116"/>
    <mergeCell ref="O121:O123"/>
    <mergeCell ref="O124:O126"/>
    <mergeCell ref="O133:O137"/>
    <mergeCell ref="O149:O151"/>
    <mergeCell ref="O78:O81"/>
    <mergeCell ref="O82:O85"/>
    <mergeCell ref="O4:O5"/>
    <mergeCell ref="O7:O11"/>
    <mergeCell ref="O15:O19"/>
    <mergeCell ref="A41:A44"/>
    <mergeCell ref="A45:A48"/>
    <mergeCell ref="A49:A53"/>
    <mergeCell ref="A54:A57"/>
    <mergeCell ref="A58:A62"/>
    <mergeCell ref="A63:A67"/>
    <mergeCell ref="O28:O32"/>
    <mergeCell ref="O33:O37"/>
    <mergeCell ref="O38:O40"/>
    <mergeCell ref="O41:O44"/>
    <mergeCell ref="O45:O48"/>
    <mergeCell ref="A28:A32"/>
    <mergeCell ref="A33:A37"/>
    <mergeCell ref="A38:A40"/>
    <mergeCell ref="A15:A19"/>
    <mergeCell ref="O20:O23"/>
    <mergeCell ref="A213:A216"/>
    <mergeCell ref="A217:A220"/>
    <mergeCell ref="A221:A224"/>
    <mergeCell ref="A113:A116"/>
    <mergeCell ref="A117:A120"/>
    <mergeCell ref="A121:A123"/>
    <mergeCell ref="A68:A71"/>
    <mergeCell ref="A72:A75"/>
    <mergeCell ref="A78:A81"/>
    <mergeCell ref="A82:A85"/>
    <mergeCell ref="A91:A93"/>
    <mergeCell ref="A94:A97"/>
    <mergeCell ref="A76:A77"/>
    <mergeCell ref="A86:A90"/>
    <mergeCell ref="A174:A177"/>
    <mergeCell ref="A226:A230"/>
    <mergeCell ref="A231:A237"/>
    <mergeCell ref="B4:B5"/>
    <mergeCell ref="A193:A194"/>
    <mergeCell ref="A195:A198"/>
    <mergeCell ref="A203:A204"/>
    <mergeCell ref="A205:A207"/>
    <mergeCell ref="A209:A212"/>
    <mergeCell ref="A165:A167"/>
    <mergeCell ref="A168:A169"/>
    <mergeCell ref="A170:A173"/>
    <mergeCell ref="A178:A181"/>
    <mergeCell ref="A182:A185"/>
    <mergeCell ref="A186:A190"/>
    <mergeCell ref="A124:A126"/>
    <mergeCell ref="A131:A132"/>
    <mergeCell ref="A133:A137"/>
    <mergeCell ref="A149:A151"/>
    <mergeCell ref="A161:A164"/>
    <mergeCell ref="A98:A100"/>
    <mergeCell ref="A101:A106"/>
    <mergeCell ref="A107:A112"/>
    <mergeCell ref="A20:A23"/>
    <mergeCell ref="A24:A27"/>
    <mergeCell ref="O139:O141"/>
    <mergeCell ref="A139:A141"/>
    <mergeCell ref="A1:P1"/>
    <mergeCell ref="A2:P2"/>
    <mergeCell ref="A4:A5"/>
    <mergeCell ref="A7:A11"/>
    <mergeCell ref="A12:A13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72:O75"/>
    <mergeCell ref="O76:O77"/>
    <mergeCell ref="O12:O13"/>
    <mergeCell ref="O86:O90"/>
    <mergeCell ref="O24:O27"/>
  </mergeCells>
  <printOptions horizontalCentered="1"/>
  <pageMargins left="0.15748031496062992" right="0.23622047244094491" top="0.19685039370078741" bottom="0.23622047244094491" header="0.31496062992125984" footer="0.31496062992125984"/>
  <pageSetup paperSize="256" scale="50" orientation="landscape" horizontalDpi="4294967293" verticalDpi="0" r:id="rId1"/>
  <rowBreaks count="3" manualBreakCount="3">
    <brk id="185" max="15" man="1"/>
    <brk id="202" max="15" man="1"/>
    <brk id="204" max="1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45"/>
  <sheetViews>
    <sheetView topLeftCell="F163" zoomScaleSheetLayoutView="100" workbookViewId="0">
      <selection activeCell="P179" sqref="P179:Q184"/>
    </sheetView>
  </sheetViews>
  <sheetFormatPr defaultRowHeight="12"/>
  <cols>
    <col min="1" max="1" width="4.5703125" style="3" customWidth="1"/>
    <col min="2" max="2" width="6.5703125" style="4" customWidth="1"/>
    <col min="3" max="4" width="15.7109375" style="5" customWidth="1"/>
    <col min="5" max="5" width="27.140625" style="3" customWidth="1"/>
    <col min="6" max="6" width="37.140625" style="3" customWidth="1"/>
    <col min="7" max="7" width="7.140625" style="4" customWidth="1"/>
    <col min="8" max="8" width="15" style="3" customWidth="1"/>
    <col min="9" max="9" width="15.85546875" style="4" customWidth="1"/>
    <col min="10" max="10" width="15.5703125" style="4" customWidth="1"/>
    <col min="11" max="11" width="9.7109375" style="4" customWidth="1"/>
    <col min="12" max="12" width="11.5703125" style="3" customWidth="1"/>
    <col min="13" max="13" width="6.42578125" style="3" customWidth="1"/>
    <col min="14" max="14" width="9.5703125" style="3" customWidth="1"/>
    <col min="15" max="15" width="10.140625" style="4" customWidth="1"/>
    <col min="16" max="16" width="29.85546875" style="3" customWidth="1"/>
    <col min="17" max="17" width="24.5703125" style="3" customWidth="1"/>
    <col min="18" max="18" width="16.7109375" style="4" hidden="1" customWidth="1"/>
    <col min="19" max="19" width="16.140625" style="3" hidden="1" customWidth="1"/>
    <col min="20" max="20" width="15.5703125" style="3" customWidth="1"/>
    <col min="21" max="16384" width="9.140625" style="3"/>
  </cols>
  <sheetData>
    <row r="1" spans="1:20" s="1" customFormat="1" ht="18.7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0"/>
      <c r="S1" s="60"/>
    </row>
    <row r="2" spans="1:20" s="1" customFormat="1" ht="18.7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0"/>
      <c r="S2" s="60"/>
    </row>
    <row r="3" spans="1:20" s="1" customFormat="1" ht="18.75">
      <c r="A3" s="6" t="s">
        <v>343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0"/>
      <c r="S3" s="60"/>
    </row>
    <row r="5" spans="1:20" ht="12" customHeight="1">
      <c r="A5" s="7" t="s">
        <v>2</v>
      </c>
      <c r="B5" s="7" t="s">
        <v>3</v>
      </c>
      <c r="C5" s="7" t="s">
        <v>344</v>
      </c>
      <c r="D5" s="7" t="s">
        <v>345</v>
      </c>
      <c r="E5" s="7" t="s">
        <v>4</v>
      </c>
      <c r="F5" s="7" t="s">
        <v>5</v>
      </c>
      <c r="G5" s="7" t="s">
        <v>6</v>
      </c>
      <c r="H5" s="7" t="s">
        <v>7</v>
      </c>
      <c r="I5" s="7" t="s">
        <v>8</v>
      </c>
      <c r="J5" s="7" t="s">
        <v>9</v>
      </c>
      <c r="K5" s="7" t="s">
        <v>10</v>
      </c>
      <c r="L5" s="7" t="s">
        <v>11</v>
      </c>
      <c r="M5" s="7" t="s">
        <v>12</v>
      </c>
      <c r="N5" s="7" t="s">
        <v>13</v>
      </c>
      <c r="O5" s="7" t="s">
        <v>14</v>
      </c>
      <c r="P5" s="44" t="s">
        <v>15</v>
      </c>
      <c r="Q5" s="7" t="s">
        <v>16</v>
      </c>
      <c r="R5" s="7" t="s">
        <v>17</v>
      </c>
      <c r="S5" s="7" t="s">
        <v>346</v>
      </c>
      <c r="T5" s="7" t="s">
        <v>347</v>
      </c>
    </row>
    <row r="6" spans="1:20" ht="12" customHeight="1">
      <c r="A6" s="8"/>
      <c r="B6" s="8"/>
      <c r="C6" s="9"/>
      <c r="D6" s="9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45"/>
      <c r="Q6" s="8"/>
      <c r="R6" s="61"/>
      <c r="S6" s="61"/>
      <c r="T6" s="8"/>
    </row>
    <row r="7" spans="1:20" ht="12.75" customHeight="1">
      <c r="A7" s="10">
        <v>1</v>
      </c>
      <c r="B7" s="11">
        <v>2</v>
      </c>
      <c r="C7" s="12">
        <v>3</v>
      </c>
      <c r="D7" s="12">
        <v>4</v>
      </c>
      <c r="E7" s="10">
        <v>5</v>
      </c>
      <c r="F7" s="10">
        <v>6</v>
      </c>
      <c r="G7" s="10">
        <v>7</v>
      </c>
      <c r="H7" s="10">
        <v>8</v>
      </c>
      <c r="I7" s="10">
        <v>9</v>
      </c>
      <c r="J7" s="10">
        <v>10</v>
      </c>
      <c r="K7" s="10">
        <v>11</v>
      </c>
      <c r="L7" s="10">
        <v>12</v>
      </c>
      <c r="M7" s="10">
        <v>13</v>
      </c>
      <c r="N7" s="10">
        <v>14</v>
      </c>
      <c r="O7" s="10">
        <v>15</v>
      </c>
      <c r="P7" s="46">
        <v>16</v>
      </c>
      <c r="Q7" s="10">
        <v>17</v>
      </c>
      <c r="R7" s="62"/>
      <c r="S7" s="62">
        <v>23</v>
      </c>
      <c r="T7" s="63">
        <v>18</v>
      </c>
    </row>
    <row r="8" spans="1:20">
      <c r="A8" s="13">
        <v>1</v>
      </c>
      <c r="B8" s="14" t="s">
        <v>19</v>
      </c>
      <c r="C8" s="15" t="s">
        <v>348</v>
      </c>
      <c r="D8" s="16" t="s">
        <v>349</v>
      </c>
      <c r="E8" s="17" t="s">
        <v>20</v>
      </c>
      <c r="F8" s="17" t="s">
        <v>20</v>
      </c>
      <c r="G8" s="18" t="s">
        <v>21</v>
      </c>
      <c r="H8" s="19" t="s">
        <v>22</v>
      </c>
      <c r="I8" s="47" t="s">
        <v>23</v>
      </c>
      <c r="J8" s="48">
        <v>33452</v>
      </c>
      <c r="K8" s="49">
        <f ca="1">INT((TODAY()-J8)/365)</f>
        <v>35</v>
      </c>
      <c r="L8" s="19" t="s">
        <v>24</v>
      </c>
      <c r="M8" s="19" t="s">
        <v>25</v>
      </c>
      <c r="N8" s="19" t="s">
        <v>26</v>
      </c>
      <c r="O8" s="18" t="s">
        <v>27</v>
      </c>
      <c r="P8" s="19" t="s">
        <v>28</v>
      </c>
      <c r="Q8" s="19" t="s">
        <v>29</v>
      </c>
      <c r="R8" s="18" t="s">
        <v>30</v>
      </c>
      <c r="S8" s="46"/>
      <c r="T8" s="63" t="s">
        <v>350</v>
      </c>
    </row>
    <row r="9" spans="1:20" s="2" customFormat="1" ht="12" customHeight="1">
      <c r="A9" s="18">
        <v>2</v>
      </c>
      <c r="B9" s="20" t="s">
        <v>32</v>
      </c>
      <c r="C9" s="21" t="s">
        <v>351</v>
      </c>
      <c r="D9" s="22" t="s">
        <v>352</v>
      </c>
      <c r="E9" s="23" t="s">
        <v>33</v>
      </c>
      <c r="F9" s="23" t="s">
        <v>33</v>
      </c>
      <c r="G9" s="24" t="s">
        <v>21</v>
      </c>
      <c r="H9" s="25" t="s">
        <v>22</v>
      </c>
      <c r="I9" s="50" t="s">
        <v>23</v>
      </c>
      <c r="J9" s="51">
        <v>27143</v>
      </c>
      <c r="K9" s="52">
        <f ca="1">INT((TODAY()-J9)/365)</f>
        <v>52</v>
      </c>
      <c r="L9" s="25" t="s">
        <v>24</v>
      </c>
      <c r="M9" s="25" t="s">
        <v>25</v>
      </c>
      <c r="N9" s="25" t="s">
        <v>26</v>
      </c>
      <c r="O9" s="24" t="s">
        <v>27</v>
      </c>
      <c r="P9" s="25" t="s">
        <v>34</v>
      </c>
      <c r="Q9" s="25" t="s">
        <v>35</v>
      </c>
      <c r="R9" s="20" t="s">
        <v>36</v>
      </c>
      <c r="S9" s="19"/>
      <c r="T9" s="19" t="s">
        <v>353</v>
      </c>
    </row>
    <row r="10" spans="1:20" s="2" customFormat="1" ht="12" customHeight="1">
      <c r="A10" s="13">
        <v>3</v>
      </c>
      <c r="B10" s="26"/>
      <c r="C10" s="27" t="s">
        <v>351</v>
      </c>
      <c r="D10" s="28" t="s">
        <v>354</v>
      </c>
      <c r="E10" s="29"/>
      <c r="F10" s="30" t="s">
        <v>38</v>
      </c>
      <c r="G10" s="31" t="s">
        <v>39</v>
      </c>
      <c r="H10" s="29" t="s">
        <v>40</v>
      </c>
      <c r="I10" s="53" t="s">
        <v>41</v>
      </c>
      <c r="J10" s="54">
        <v>27103</v>
      </c>
      <c r="K10" s="55">
        <f t="shared" ref="K10:K73" ca="1" si="0">INT((TODAY()-J10)/365)</f>
        <v>52</v>
      </c>
      <c r="L10" s="29" t="s">
        <v>24</v>
      </c>
      <c r="M10" s="29" t="s">
        <v>25</v>
      </c>
      <c r="N10" s="29" t="s">
        <v>26</v>
      </c>
      <c r="O10" s="31" t="s">
        <v>27</v>
      </c>
      <c r="P10" s="29" t="s">
        <v>34</v>
      </c>
      <c r="Q10" s="29" t="s">
        <v>42</v>
      </c>
      <c r="R10" s="26"/>
      <c r="S10" s="19"/>
      <c r="T10" s="19" t="s">
        <v>353</v>
      </c>
    </row>
    <row r="11" spans="1:20" s="2" customFormat="1" ht="12" customHeight="1">
      <c r="A11" s="13">
        <v>4</v>
      </c>
      <c r="B11" s="26"/>
      <c r="C11" s="27" t="s">
        <v>351</v>
      </c>
      <c r="D11" s="28" t="s">
        <v>355</v>
      </c>
      <c r="E11" s="29"/>
      <c r="F11" s="30" t="s">
        <v>43</v>
      </c>
      <c r="G11" s="31" t="s">
        <v>39</v>
      </c>
      <c r="H11" s="29" t="s">
        <v>44</v>
      </c>
      <c r="I11" s="53" t="s">
        <v>23</v>
      </c>
      <c r="J11" s="54">
        <v>37280</v>
      </c>
      <c r="K11" s="55">
        <f t="shared" ca="1" si="0"/>
        <v>24</v>
      </c>
      <c r="L11" s="29" t="s">
        <v>45</v>
      </c>
      <c r="M11" s="29" t="s">
        <v>25</v>
      </c>
      <c r="N11" s="29" t="s">
        <v>26</v>
      </c>
      <c r="O11" s="31" t="s">
        <v>27</v>
      </c>
      <c r="P11" s="29" t="s">
        <v>34</v>
      </c>
      <c r="Q11" s="29" t="s">
        <v>46</v>
      </c>
      <c r="R11" s="26"/>
      <c r="S11" s="19"/>
      <c r="T11" s="19" t="s">
        <v>353</v>
      </c>
    </row>
    <row r="12" spans="1:20" s="2" customFormat="1" ht="12" customHeight="1">
      <c r="A12" s="18">
        <v>5</v>
      </c>
      <c r="B12" s="26"/>
      <c r="C12" s="27" t="s">
        <v>351</v>
      </c>
      <c r="D12" s="28" t="s">
        <v>356</v>
      </c>
      <c r="E12" s="29"/>
      <c r="F12" s="30" t="s">
        <v>47</v>
      </c>
      <c r="G12" s="31" t="s">
        <v>39</v>
      </c>
      <c r="H12" s="29" t="s">
        <v>44</v>
      </c>
      <c r="I12" s="53" t="s">
        <v>48</v>
      </c>
      <c r="J12" s="54">
        <v>39850</v>
      </c>
      <c r="K12" s="55">
        <f t="shared" ca="1" si="0"/>
        <v>17</v>
      </c>
      <c r="L12" s="29" t="s">
        <v>45</v>
      </c>
      <c r="M12" s="29" t="s">
        <v>25</v>
      </c>
      <c r="N12" s="29" t="s">
        <v>26</v>
      </c>
      <c r="O12" s="31" t="s">
        <v>27</v>
      </c>
      <c r="P12" s="29" t="s">
        <v>49</v>
      </c>
      <c r="Q12" s="29" t="s">
        <v>50</v>
      </c>
      <c r="R12" s="26"/>
      <c r="S12" s="19"/>
      <c r="T12" s="19" t="s">
        <v>353</v>
      </c>
    </row>
    <row r="13" spans="1:20" s="2" customFormat="1" ht="12" customHeight="1">
      <c r="A13" s="13">
        <v>6</v>
      </c>
      <c r="B13" s="32"/>
      <c r="C13" s="33" t="s">
        <v>351</v>
      </c>
      <c r="D13" s="34" t="s">
        <v>357</v>
      </c>
      <c r="E13" s="35"/>
      <c r="F13" s="36" t="s">
        <v>51</v>
      </c>
      <c r="G13" s="37" t="s">
        <v>39</v>
      </c>
      <c r="H13" s="35" t="s">
        <v>52</v>
      </c>
      <c r="I13" s="56" t="s">
        <v>41</v>
      </c>
      <c r="J13" s="57">
        <v>19816</v>
      </c>
      <c r="K13" s="58">
        <f t="shared" ca="1" si="0"/>
        <v>72</v>
      </c>
      <c r="L13" s="35" t="s">
        <v>53</v>
      </c>
      <c r="M13" s="35" t="s">
        <v>25</v>
      </c>
      <c r="N13" s="35" t="s">
        <v>26</v>
      </c>
      <c r="O13" s="37" t="s">
        <v>27</v>
      </c>
      <c r="P13" s="35" t="s">
        <v>28</v>
      </c>
      <c r="Q13" s="35" t="s">
        <v>42</v>
      </c>
      <c r="R13" s="32"/>
      <c r="S13" s="19"/>
      <c r="T13" s="19" t="s">
        <v>353</v>
      </c>
    </row>
    <row r="14" spans="1:20" s="2" customFormat="1" ht="12" customHeight="1">
      <c r="A14" s="13">
        <v>7</v>
      </c>
      <c r="B14" s="20" t="s">
        <v>54</v>
      </c>
      <c r="C14" s="21" t="s">
        <v>358</v>
      </c>
      <c r="D14" s="22" t="s">
        <v>359</v>
      </c>
      <c r="E14" s="38" t="s">
        <v>55</v>
      </c>
      <c r="F14" s="39" t="s">
        <v>55</v>
      </c>
      <c r="G14" s="24" t="s">
        <v>21</v>
      </c>
      <c r="H14" s="25" t="s">
        <v>22</v>
      </c>
      <c r="I14" s="59" t="s">
        <v>23</v>
      </c>
      <c r="J14" s="51">
        <v>26874</v>
      </c>
      <c r="K14" s="52">
        <f t="shared" ca="1" si="0"/>
        <v>53</v>
      </c>
      <c r="L14" s="25" t="s">
        <v>24</v>
      </c>
      <c r="M14" s="25" t="s">
        <v>25</v>
      </c>
      <c r="N14" s="25" t="s">
        <v>26</v>
      </c>
      <c r="O14" s="24" t="s">
        <v>27</v>
      </c>
      <c r="P14" s="25" t="s">
        <v>34</v>
      </c>
      <c r="Q14" s="25" t="s">
        <v>35</v>
      </c>
      <c r="R14" s="18" t="s">
        <v>30</v>
      </c>
      <c r="S14" s="19"/>
      <c r="T14" s="63" t="s">
        <v>350</v>
      </c>
    </row>
    <row r="15" spans="1:20" s="2" customFormat="1" ht="12" customHeight="1">
      <c r="A15" s="18">
        <v>8</v>
      </c>
      <c r="B15" s="32"/>
      <c r="C15" s="33" t="s">
        <v>358</v>
      </c>
      <c r="D15" s="34" t="s">
        <v>360</v>
      </c>
      <c r="E15" s="35"/>
      <c r="F15" s="36" t="s">
        <v>56</v>
      </c>
      <c r="G15" s="37" t="s">
        <v>39</v>
      </c>
      <c r="H15" s="35" t="s">
        <v>40</v>
      </c>
      <c r="I15" s="36" t="s">
        <v>23</v>
      </c>
      <c r="J15" s="57">
        <v>28905</v>
      </c>
      <c r="K15" s="58">
        <f t="shared" ca="1" si="0"/>
        <v>47</v>
      </c>
      <c r="L15" s="35" t="s">
        <v>24</v>
      </c>
      <c r="M15" s="35" t="s">
        <v>25</v>
      </c>
      <c r="N15" s="35" t="s">
        <v>26</v>
      </c>
      <c r="O15" s="37" t="s">
        <v>27</v>
      </c>
      <c r="P15" s="35" t="s">
        <v>34</v>
      </c>
      <c r="Q15" s="35" t="s">
        <v>42</v>
      </c>
      <c r="R15" s="18"/>
      <c r="S15" s="19"/>
      <c r="T15" s="63" t="s">
        <v>350</v>
      </c>
    </row>
    <row r="16" spans="1:20" s="2" customFormat="1" ht="12" customHeight="1">
      <c r="A16" s="13">
        <v>9</v>
      </c>
      <c r="B16" s="18" t="s">
        <v>57</v>
      </c>
      <c r="C16" s="15" t="s">
        <v>361</v>
      </c>
      <c r="D16" s="16" t="s">
        <v>362</v>
      </c>
      <c r="E16" s="40" t="s">
        <v>363</v>
      </c>
      <c r="F16" s="40" t="s">
        <v>363</v>
      </c>
      <c r="G16" s="18" t="s">
        <v>21</v>
      </c>
      <c r="H16" s="19" t="s">
        <v>22</v>
      </c>
      <c r="I16" s="47" t="s">
        <v>23</v>
      </c>
      <c r="J16" s="48">
        <v>29369</v>
      </c>
      <c r="K16" s="49">
        <f t="shared" ca="1" si="0"/>
        <v>46</v>
      </c>
      <c r="L16" s="19" t="s">
        <v>24</v>
      </c>
      <c r="M16" s="19" t="s">
        <v>25</v>
      </c>
      <c r="N16" s="19" t="s">
        <v>26</v>
      </c>
      <c r="O16" s="18" t="s">
        <v>172</v>
      </c>
      <c r="P16" s="19" t="s">
        <v>34</v>
      </c>
      <c r="Q16" s="19" t="s">
        <v>29</v>
      </c>
      <c r="R16" s="18" t="s">
        <v>30</v>
      </c>
      <c r="S16" s="19"/>
      <c r="T16" s="63" t="s">
        <v>350</v>
      </c>
    </row>
    <row r="17" spans="1:20" s="2" customFormat="1" ht="12" customHeight="1">
      <c r="A17" s="13">
        <v>10</v>
      </c>
      <c r="B17" s="20" t="s">
        <v>59</v>
      </c>
      <c r="C17" s="21" t="s">
        <v>364</v>
      </c>
      <c r="D17" s="22" t="s">
        <v>365</v>
      </c>
      <c r="E17" s="39" t="s">
        <v>366</v>
      </c>
      <c r="F17" s="38" t="s">
        <v>366</v>
      </c>
      <c r="G17" s="24" t="s">
        <v>21</v>
      </c>
      <c r="H17" s="25" t="s">
        <v>22</v>
      </c>
      <c r="I17" s="59" t="s">
        <v>367</v>
      </c>
      <c r="J17" s="51">
        <v>30891</v>
      </c>
      <c r="K17" s="52">
        <f t="shared" ca="1" si="0"/>
        <v>42</v>
      </c>
      <c r="L17" s="25" t="s">
        <v>24</v>
      </c>
      <c r="M17" s="25" t="s">
        <v>260</v>
      </c>
      <c r="N17" s="25" t="s">
        <v>26</v>
      </c>
      <c r="O17" s="24" t="s">
        <v>172</v>
      </c>
      <c r="P17" s="25" t="s">
        <v>34</v>
      </c>
      <c r="Q17" s="25" t="s">
        <v>35</v>
      </c>
      <c r="R17" s="20" t="s">
        <v>30</v>
      </c>
      <c r="S17" s="19"/>
      <c r="T17" s="63" t="s">
        <v>350</v>
      </c>
    </row>
    <row r="18" spans="1:20" s="2" customFormat="1" ht="12" customHeight="1">
      <c r="A18" s="18">
        <v>11</v>
      </c>
      <c r="B18" s="26"/>
      <c r="C18" s="27" t="s">
        <v>364</v>
      </c>
      <c r="D18" s="28" t="s">
        <v>368</v>
      </c>
      <c r="E18" s="29"/>
      <c r="F18" s="29" t="s">
        <v>369</v>
      </c>
      <c r="G18" s="31" t="s">
        <v>39</v>
      </c>
      <c r="H18" s="29" t="s">
        <v>40</v>
      </c>
      <c r="I18" s="30" t="s">
        <v>23</v>
      </c>
      <c r="J18" s="54">
        <v>30535</v>
      </c>
      <c r="K18" s="55">
        <f t="shared" ca="1" si="0"/>
        <v>43</v>
      </c>
      <c r="L18" s="29" t="s">
        <v>24</v>
      </c>
      <c r="M18" s="29" t="s">
        <v>260</v>
      </c>
      <c r="N18" s="29" t="s">
        <v>26</v>
      </c>
      <c r="O18" s="31" t="s">
        <v>172</v>
      </c>
      <c r="P18" s="29" t="s">
        <v>62</v>
      </c>
      <c r="Q18" s="29" t="s">
        <v>63</v>
      </c>
      <c r="R18" s="26"/>
      <c r="S18" s="19"/>
      <c r="T18" s="63" t="s">
        <v>350</v>
      </c>
    </row>
    <row r="19" spans="1:20" s="2" customFormat="1" ht="12" customHeight="1">
      <c r="A19" s="13">
        <v>12</v>
      </c>
      <c r="B19" s="32"/>
      <c r="C19" s="33" t="s">
        <v>364</v>
      </c>
      <c r="D19" s="34" t="s">
        <v>370</v>
      </c>
      <c r="E19" s="35"/>
      <c r="F19" s="35" t="s">
        <v>371</v>
      </c>
      <c r="G19" s="37" t="s">
        <v>39</v>
      </c>
      <c r="H19" s="35" t="s">
        <v>44</v>
      </c>
      <c r="I19" s="36" t="s">
        <v>367</v>
      </c>
      <c r="J19" s="57">
        <v>38784</v>
      </c>
      <c r="K19" s="58">
        <f t="shared" ca="1" si="0"/>
        <v>20</v>
      </c>
      <c r="L19" s="35" t="s">
        <v>45</v>
      </c>
      <c r="M19" s="35" t="s">
        <v>260</v>
      </c>
      <c r="N19" s="35" t="s">
        <v>26</v>
      </c>
      <c r="O19" s="37" t="s">
        <v>27</v>
      </c>
      <c r="P19" s="35" t="s">
        <v>98</v>
      </c>
      <c r="Q19" s="35" t="s">
        <v>99</v>
      </c>
      <c r="R19" s="32"/>
      <c r="S19" s="19"/>
      <c r="T19" s="63" t="s">
        <v>350</v>
      </c>
    </row>
    <row r="20" spans="1:20" s="2" customFormat="1" ht="12" customHeight="1">
      <c r="A20" s="13">
        <v>13</v>
      </c>
      <c r="B20" s="20" t="s">
        <v>64</v>
      </c>
      <c r="C20" s="41" t="s">
        <v>372</v>
      </c>
      <c r="D20" s="41" t="s">
        <v>373</v>
      </c>
      <c r="E20" s="38" t="s">
        <v>65</v>
      </c>
      <c r="F20" s="38" t="s">
        <v>65</v>
      </c>
      <c r="G20" s="24" t="s">
        <v>21</v>
      </c>
      <c r="H20" s="25" t="s">
        <v>22</v>
      </c>
      <c r="I20" s="50" t="s">
        <v>23</v>
      </c>
      <c r="J20" s="51">
        <v>26812</v>
      </c>
      <c r="K20" s="52">
        <f t="shared" ca="1" si="0"/>
        <v>53</v>
      </c>
      <c r="L20" s="25" t="s">
        <v>24</v>
      </c>
      <c r="M20" s="25" t="s">
        <v>25</v>
      </c>
      <c r="N20" s="25" t="s">
        <v>26</v>
      </c>
      <c r="O20" s="24" t="s">
        <v>27</v>
      </c>
      <c r="P20" s="25" t="s">
        <v>34</v>
      </c>
      <c r="Q20" s="25" t="s">
        <v>35</v>
      </c>
      <c r="R20" s="20" t="s">
        <v>36</v>
      </c>
      <c r="S20" s="19"/>
      <c r="T20" s="19" t="s">
        <v>353</v>
      </c>
    </row>
    <row r="21" spans="1:20" s="2" customFormat="1" ht="12" customHeight="1">
      <c r="A21" s="18">
        <v>14</v>
      </c>
      <c r="B21" s="26"/>
      <c r="C21" s="42" t="s">
        <v>372</v>
      </c>
      <c r="D21" s="42" t="s">
        <v>374</v>
      </c>
      <c r="E21" s="29"/>
      <c r="F21" s="29" t="s">
        <v>66</v>
      </c>
      <c r="G21" s="31" t="s">
        <v>39</v>
      </c>
      <c r="H21" s="29" t="s">
        <v>40</v>
      </c>
      <c r="I21" s="53" t="s">
        <v>23</v>
      </c>
      <c r="J21" s="54">
        <v>28006</v>
      </c>
      <c r="K21" s="55">
        <f t="shared" ca="1" si="0"/>
        <v>50</v>
      </c>
      <c r="L21" s="29" t="s">
        <v>24</v>
      </c>
      <c r="M21" s="29" t="s">
        <v>25</v>
      </c>
      <c r="N21" s="29" t="s">
        <v>26</v>
      </c>
      <c r="O21" s="31" t="s">
        <v>27</v>
      </c>
      <c r="P21" s="29" t="s">
        <v>34</v>
      </c>
      <c r="Q21" s="29" t="s">
        <v>35</v>
      </c>
      <c r="R21" s="26"/>
      <c r="S21" s="19"/>
      <c r="T21" s="19" t="s">
        <v>353</v>
      </c>
    </row>
    <row r="22" spans="1:20" s="2" customFormat="1" ht="12" customHeight="1">
      <c r="A22" s="13">
        <v>15</v>
      </c>
      <c r="B22" s="26"/>
      <c r="C22" s="42" t="s">
        <v>372</v>
      </c>
      <c r="D22" s="42" t="s">
        <v>375</v>
      </c>
      <c r="E22" s="29"/>
      <c r="F22" s="29" t="s">
        <v>67</v>
      </c>
      <c r="G22" s="31" t="s">
        <v>21</v>
      </c>
      <c r="H22" s="29" t="s">
        <v>44</v>
      </c>
      <c r="I22" s="53" t="s">
        <v>23</v>
      </c>
      <c r="J22" s="54">
        <v>36681</v>
      </c>
      <c r="K22" s="55">
        <f t="shared" ca="1" si="0"/>
        <v>26</v>
      </c>
      <c r="L22" s="29" t="s">
        <v>45</v>
      </c>
      <c r="M22" s="29" t="s">
        <v>25</v>
      </c>
      <c r="N22" s="29" t="s">
        <v>26</v>
      </c>
      <c r="O22" s="31" t="s">
        <v>27</v>
      </c>
      <c r="P22" s="29" t="s">
        <v>68</v>
      </c>
      <c r="Q22" s="29" t="s">
        <v>50</v>
      </c>
      <c r="R22" s="26"/>
      <c r="S22" s="19"/>
      <c r="T22" s="19" t="s">
        <v>353</v>
      </c>
    </row>
    <row r="23" spans="1:20" s="2" customFormat="1" ht="12" customHeight="1">
      <c r="A23" s="13">
        <v>16</v>
      </c>
      <c r="B23" s="32"/>
      <c r="C23" s="43" t="s">
        <v>372</v>
      </c>
      <c r="D23" s="43" t="s">
        <v>376</v>
      </c>
      <c r="E23" s="35"/>
      <c r="F23" s="35" t="s">
        <v>69</v>
      </c>
      <c r="G23" s="37" t="s">
        <v>21</v>
      </c>
      <c r="H23" s="35" t="s">
        <v>44</v>
      </c>
      <c r="I23" s="56" t="s">
        <v>23</v>
      </c>
      <c r="J23" s="57">
        <v>39756</v>
      </c>
      <c r="K23" s="58">
        <f t="shared" ca="1" si="0"/>
        <v>17</v>
      </c>
      <c r="L23" s="35" t="s">
        <v>45</v>
      </c>
      <c r="M23" s="35" t="s">
        <v>25</v>
      </c>
      <c r="N23" s="35" t="s">
        <v>26</v>
      </c>
      <c r="O23" s="37" t="s">
        <v>27</v>
      </c>
      <c r="P23" s="35" t="s">
        <v>49</v>
      </c>
      <c r="Q23" s="35" t="s">
        <v>50</v>
      </c>
      <c r="R23" s="32"/>
      <c r="S23" s="19"/>
      <c r="T23" s="19" t="s">
        <v>353</v>
      </c>
    </row>
    <row r="24" spans="1:20" s="2" customFormat="1" ht="12" customHeight="1">
      <c r="A24" s="18">
        <v>17</v>
      </c>
      <c r="B24" s="20" t="s">
        <v>70</v>
      </c>
      <c r="C24" s="21" t="s">
        <v>377</v>
      </c>
      <c r="D24" s="22" t="s">
        <v>378</v>
      </c>
      <c r="E24" s="38" t="s">
        <v>71</v>
      </c>
      <c r="F24" s="38" t="s">
        <v>71</v>
      </c>
      <c r="G24" s="24" t="s">
        <v>21</v>
      </c>
      <c r="H24" s="25" t="s">
        <v>22</v>
      </c>
      <c r="I24" s="59" t="s">
        <v>48</v>
      </c>
      <c r="J24" s="51">
        <v>32372</v>
      </c>
      <c r="K24" s="52">
        <f t="shared" ca="1" si="0"/>
        <v>38</v>
      </c>
      <c r="L24" s="25" t="s">
        <v>24</v>
      </c>
      <c r="M24" s="25" t="s">
        <v>25</v>
      </c>
      <c r="N24" s="25" t="s">
        <v>26</v>
      </c>
      <c r="O24" s="24"/>
      <c r="P24" s="25" t="s">
        <v>34</v>
      </c>
      <c r="Q24" s="25" t="s">
        <v>29</v>
      </c>
      <c r="R24" s="20" t="s">
        <v>36</v>
      </c>
      <c r="S24" s="19"/>
      <c r="T24" s="19" t="s">
        <v>353</v>
      </c>
    </row>
    <row r="25" spans="1:20" s="2" customFormat="1" ht="12" customHeight="1">
      <c r="A25" s="13">
        <v>18</v>
      </c>
      <c r="B25" s="26"/>
      <c r="C25" s="27" t="s">
        <v>377</v>
      </c>
      <c r="D25" s="28" t="s">
        <v>379</v>
      </c>
      <c r="E25" s="29"/>
      <c r="F25" s="29" t="s">
        <v>72</v>
      </c>
      <c r="G25" s="31" t="s">
        <v>39</v>
      </c>
      <c r="H25" s="29" t="s">
        <v>40</v>
      </c>
      <c r="I25" s="30" t="s">
        <v>23</v>
      </c>
      <c r="J25" s="54">
        <v>32673</v>
      </c>
      <c r="K25" s="55">
        <f t="shared" ca="1" si="0"/>
        <v>37</v>
      </c>
      <c r="L25" s="29" t="s">
        <v>24</v>
      </c>
      <c r="M25" s="29" t="s">
        <v>25</v>
      </c>
      <c r="N25" s="29" t="s">
        <v>26</v>
      </c>
      <c r="O25" s="31"/>
      <c r="P25" s="29" t="s">
        <v>34</v>
      </c>
      <c r="Q25" s="29" t="s">
        <v>42</v>
      </c>
      <c r="R25" s="32"/>
      <c r="S25" s="19"/>
      <c r="T25" s="19" t="s">
        <v>353</v>
      </c>
    </row>
    <row r="26" spans="1:20" s="2" customFormat="1" ht="12" customHeight="1">
      <c r="A26" s="13">
        <v>19</v>
      </c>
      <c r="B26" s="32"/>
      <c r="C26" s="33" t="s">
        <v>377</v>
      </c>
      <c r="D26" s="34" t="s">
        <v>380</v>
      </c>
      <c r="E26" s="35"/>
      <c r="F26" s="35" t="s">
        <v>73</v>
      </c>
      <c r="G26" s="37" t="s">
        <v>39</v>
      </c>
      <c r="H26" s="35" t="s">
        <v>44</v>
      </c>
      <c r="I26" s="36" t="s">
        <v>23</v>
      </c>
      <c r="J26" s="57">
        <v>41309</v>
      </c>
      <c r="K26" s="58">
        <f t="shared" ca="1" si="0"/>
        <v>13</v>
      </c>
      <c r="L26" s="35" t="s">
        <v>45</v>
      </c>
      <c r="M26" s="35" t="s">
        <v>25</v>
      </c>
      <c r="N26" s="35" t="s">
        <v>26</v>
      </c>
      <c r="O26" s="37"/>
      <c r="P26" s="35" t="s">
        <v>62</v>
      </c>
      <c r="Q26" s="35" t="s">
        <v>63</v>
      </c>
      <c r="R26" s="18"/>
      <c r="S26" s="19"/>
      <c r="T26" s="19" t="s">
        <v>353</v>
      </c>
    </row>
    <row r="27" spans="1:20" s="2" customFormat="1" ht="12" customHeight="1">
      <c r="A27" s="18">
        <v>20</v>
      </c>
      <c r="B27" s="20" t="s">
        <v>74</v>
      </c>
      <c r="C27" s="41" t="s">
        <v>381</v>
      </c>
      <c r="D27" s="41" t="s">
        <v>382</v>
      </c>
      <c r="E27" s="38" t="s">
        <v>75</v>
      </c>
      <c r="F27" s="38" t="s">
        <v>75</v>
      </c>
      <c r="G27" s="24" t="s">
        <v>21</v>
      </c>
      <c r="H27" s="25" t="s">
        <v>22</v>
      </c>
      <c r="I27" s="50" t="s">
        <v>76</v>
      </c>
      <c r="J27" s="51">
        <v>27564</v>
      </c>
      <c r="K27" s="52">
        <f t="shared" ca="1" si="0"/>
        <v>51</v>
      </c>
      <c r="L27" s="25" t="s">
        <v>24</v>
      </c>
      <c r="M27" s="25" t="s">
        <v>25</v>
      </c>
      <c r="N27" s="25" t="s">
        <v>26</v>
      </c>
      <c r="O27" s="24" t="s">
        <v>77</v>
      </c>
      <c r="P27" s="25" t="s">
        <v>34</v>
      </c>
      <c r="Q27" s="25" t="s">
        <v>35</v>
      </c>
      <c r="R27" s="20" t="s">
        <v>36</v>
      </c>
      <c r="S27" s="19"/>
      <c r="T27" s="19" t="s">
        <v>353</v>
      </c>
    </row>
    <row r="28" spans="1:20" s="2" customFormat="1" ht="12" customHeight="1">
      <c r="A28" s="13">
        <v>21</v>
      </c>
      <c r="B28" s="26"/>
      <c r="C28" s="42" t="s">
        <v>381</v>
      </c>
      <c r="D28" s="42" t="s">
        <v>383</v>
      </c>
      <c r="E28" s="29"/>
      <c r="F28" s="29" t="s">
        <v>78</v>
      </c>
      <c r="G28" s="31" t="s">
        <v>39</v>
      </c>
      <c r="H28" s="29" t="s">
        <v>40</v>
      </c>
      <c r="I28" s="53" t="s">
        <v>79</v>
      </c>
      <c r="J28" s="54">
        <v>28702</v>
      </c>
      <c r="K28" s="55">
        <f t="shared" ca="1" si="0"/>
        <v>48</v>
      </c>
      <c r="L28" s="29" t="s">
        <v>24</v>
      </c>
      <c r="M28" s="29" t="s">
        <v>25</v>
      </c>
      <c r="N28" s="29" t="s">
        <v>26</v>
      </c>
      <c r="O28" s="31" t="s">
        <v>27</v>
      </c>
      <c r="P28" s="29" t="s">
        <v>34</v>
      </c>
      <c r="Q28" s="29" t="s">
        <v>42</v>
      </c>
      <c r="R28" s="26"/>
      <c r="S28" s="19"/>
      <c r="T28" s="19" t="s">
        <v>353</v>
      </c>
    </row>
    <row r="29" spans="1:20" s="2" customFormat="1" ht="12" customHeight="1">
      <c r="A29" s="13">
        <v>22</v>
      </c>
      <c r="B29" s="26"/>
      <c r="C29" s="42" t="s">
        <v>381</v>
      </c>
      <c r="D29" s="42" t="s">
        <v>384</v>
      </c>
      <c r="E29" s="29"/>
      <c r="F29" s="29" t="s">
        <v>80</v>
      </c>
      <c r="G29" s="31" t="s">
        <v>39</v>
      </c>
      <c r="H29" s="29" t="s">
        <v>44</v>
      </c>
      <c r="I29" s="53" t="s">
        <v>79</v>
      </c>
      <c r="J29" s="54">
        <v>39257</v>
      </c>
      <c r="K29" s="55">
        <f t="shared" ca="1" si="0"/>
        <v>19</v>
      </c>
      <c r="L29" s="29" t="s">
        <v>45</v>
      </c>
      <c r="M29" s="29" t="s">
        <v>25</v>
      </c>
      <c r="N29" s="29" t="s">
        <v>26</v>
      </c>
      <c r="O29" s="31" t="s">
        <v>27</v>
      </c>
      <c r="P29" s="29" t="s">
        <v>49</v>
      </c>
      <c r="Q29" s="29" t="s">
        <v>50</v>
      </c>
      <c r="R29" s="26"/>
      <c r="S29" s="19"/>
      <c r="T29" s="19" t="s">
        <v>353</v>
      </c>
    </row>
    <row r="30" spans="1:20" s="2" customFormat="1" ht="12" customHeight="1">
      <c r="A30" s="18">
        <v>23</v>
      </c>
      <c r="B30" s="26"/>
      <c r="C30" s="42" t="s">
        <v>381</v>
      </c>
      <c r="D30" s="42" t="s">
        <v>385</v>
      </c>
      <c r="E30" s="29"/>
      <c r="F30" s="29" t="s">
        <v>81</v>
      </c>
      <c r="G30" s="31" t="s">
        <v>39</v>
      </c>
      <c r="H30" s="29" t="s">
        <v>44</v>
      </c>
      <c r="I30" s="53" t="s">
        <v>23</v>
      </c>
      <c r="J30" s="54">
        <v>40468</v>
      </c>
      <c r="K30" s="55">
        <f t="shared" ca="1" si="0"/>
        <v>15</v>
      </c>
      <c r="L30" s="29" t="s">
        <v>45</v>
      </c>
      <c r="M30" s="29" t="s">
        <v>25</v>
      </c>
      <c r="N30" s="29" t="s">
        <v>26</v>
      </c>
      <c r="O30" s="31" t="s">
        <v>27</v>
      </c>
      <c r="P30" s="29" t="s">
        <v>61</v>
      </c>
      <c r="Q30" s="29" t="s">
        <v>50</v>
      </c>
      <c r="R30" s="26"/>
      <c r="S30" s="19"/>
      <c r="T30" s="19" t="s">
        <v>353</v>
      </c>
    </row>
    <row r="31" spans="1:20" s="2" customFormat="1" ht="12" customHeight="1">
      <c r="A31" s="13">
        <v>24</v>
      </c>
      <c r="B31" s="32"/>
      <c r="C31" s="43" t="s">
        <v>381</v>
      </c>
      <c r="D31" s="43" t="s">
        <v>386</v>
      </c>
      <c r="E31" s="35"/>
      <c r="F31" s="35" t="s">
        <v>82</v>
      </c>
      <c r="G31" s="37" t="s">
        <v>39</v>
      </c>
      <c r="H31" s="35" t="s">
        <v>44</v>
      </c>
      <c r="I31" s="56" t="s">
        <v>23</v>
      </c>
      <c r="J31" s="57">
        <v>41869</v>
      </c>
      <c r="K31" s="58">
        <f t="shared" ca="1" si="0"/>
        <v>12</v>
      </c>
      <c r="L31" s="35" t="s">
        <v>45</v>
      </c>
      <c r="M31" s="35" t="s">
        <v>25</v>
      </c>
      <c r="N31" s="35" t="s">
        <v>26</v>
      </c>
      <c r="O31" s="37" t="s">
        <v>27</v>
      </c>
      <c r="P31" s="35" t="s">
        <v>83</v>
      </c>
      <c r="Q31" s="35" t="s">
        <v>50</v>
      </c>
      <c r="R31" s="32"/>
      <c r="S31" s="19"/>
      <c r="T31" s="19" t="s">
        <v>353</v>
      </c>
    </row>
    <row r="32" spans="1:20" s="2" customFormat="1" ht="12" customHeight="1">
      <c r="A32" s="13">
        <v>25</v>
      </c>
      <c r="B32" s="20" t="s">
        <v>84</v>
      </c>
      <c r="C32" s="41" t="s">
        <v>387</v>
      </c>
      <c r="D32" s="41" t="s">
        <v>388</v>
      </c>
      <c r="E32" s="38" t="s">
        <v>85</v>
      </c>
      <c r="F32" s="38" t="s">
        <v>85</v>
      </c>
      <c r="G32" s="24" t="s">
        <v>21</v>
      </c>
      <c r="H32" s="25" t="s">
        <v>22</v>
      </c>
      <c r="I32" s="50" t="s">
        <v>86</v>
      </c>
      <c r="J32" s="51">
        <v>27478</v>
      </c>
      <c r="K32" s="52">
        <f t="shared" ca="1" si="0"/>
        <v>51</v>
      </c>
      <c r="L32" s="25" t="s">
        <v>24</v>
      </c>
      <c r="M32" s="25" t="s">
        <v>25</v>
      </c>
      <c r="N32" s="25" t="s">
        <v>26</v>
      </c>
      <c r="O32" s="24" t="s">
        <v>87</v>
      </c>
      <c r="P32" s="25" t="s">
        <v>34</v>
      </c>
      <c r="Q32" s="25" t="s">
        <v>35</v>
      </c>
      <c r="R32" s="20" t="s">
        <v>36</v>
      </c>
      <c r="S32" s="19"/>
      <c r="T32" s="19" t="s">
        <v>353</v>
      </c>
    </row>
    <row r="33" spans="1:20" s="2" customFormat="1" ht="12" customHeight="1">
      <c r="A33" s="18">
        <v>26</v>
      </c>
      <c r="B33" s="26"/>
      <c r="C33" s="42" t="s">
        <v>387</v>
      </c>
      <c r="D33" s="42" t="s">
        <v>389</v>
      </c>
      <c r="E33" s="29"/>
      <c r="F33" s="29" t="s">
        <v>88</v>
      </c>
      <c r="G33" s="31" t="s">
        <v>39</v>
      </c>
      <c r="H33" s="29" t="s">
        <v>40</v>
      </c>
      <c r="I33" s="53" t="s">
        <v>86</v>
      </c>
      <c r="J33" s="54">
        <v>29325</v>
      </c>
      <c r="K33" s="55">
        <f t="shared" ca="1" si="0"/>
        <v>46</v>
      </c>
      <c r="L33" s="29" t="s">
        <v>24</v>
      </c>
      <c r="M33" s="29" t="s">
        <v>25</v>
      </c>
      <c r="N33" s="29" t="s">
        <v>26</v>
      </c>
      <c r="O33" s="31" t="s">
        <v>89</v>
      </c>
      <c r="P33" s="29" t="s">
        <v>28</v>
      </c>
      <c r="Q33" s="29" t="s">
        <v>42</v>
      </c>
      <c r="R33" s="26"/>
      <c r="S33" s="19"/>
      <c r="T33" s="19" t="s">
        <v>353</v>
      </c>
    </row>
    <row r="34" spans="1:20" s="2" customFormat="1" ht="12" customHeight="1">
      <c r="A34" s="13">
        <v>27</v>
      </c>
      <c r="B34" s="26"/>
      <c r="C34" s="42" t="s">
        <v>387</v>
      </c>
      <c r="D34" s="42" t="s">
        <v>390</v>
      </c>
      <c r="E34" s="29"/>
      <c r="F34" s="29" t="s">
        <v>90</v>
      </c>
      <c r="G34" s="31" t="s">
        <v>39</v>
      </c>
      <c r="H34" s="29" t="s">
        <v>44</v>
      </c>
      <c r="I34" s="53" t="s">
        <v>79</v>
      </c>
      <c r="J34" s="54">
        <v>37689</v>
      </c>
      <c r="K34" s="55">
        <f t="shared" ca="1" si="0"/>
        <v>23</v>
      </c>
      <c r="L34" s="29" t="s">
        <v>45</v>
      </c>
      <c r="M34" s="29" t="s">
        <v>25</v>
      </c>
      <c r="N34" s="29" t="s">
        <v>26</v>
      </c>
      <c r="O34" s="31" t="s">
        <v>27</v>
      </c>
      <c r="P34" s="29" t="s">
        <v>91</v>
      </c>
      <c r="Q34" s="29" t="s">
        <v>50</v>
      </c>
      <c r="R34" s="26"/>
      <c r="S34" s="19"/>
      <c r="T34" s="19" t="s">
        <v>353</v>
      </c>
    </row>
    <row r="35" spans="1:20" s="2" customFormat="1" ht="12" customHeight="1">
      <c r="A35" s="13">
        <v>28</v>
      </c>
      <c r="B35" s="26"/>
      <c r="C35" s="42" t="s">
        <v>387</v>
      </c>
      <c r="D35" s="42" t="s">
        <v>391</v>
      </c>
      <c r="E35" s="29"/>
      <c r="F35" s="29" t="s">
        <v>92</v>
      </c>
      <c r="G35" s="31" t="s">
        <v>39</v>
      </c>
      <c r="H35" s="29" t="s">
        <v>93</v>
      </c>
      <c r="I35" s="53" t="s">
        <v>23</v>
      </c>
      <c r="J35" s="54">
        <v>40034</v>
      </c>
      <c r="K35" s="55">
        <f t="shared" ca="1" si="0"/>
        <v>17</v>
      </c>
      <c r="L35" s="29" t="s">
        <v>45</v>
      </c>
      <c r="M35" s="29" t="s">
        <v>25</v>
      </c>
      <c r="N35" s="29" t="s">
        <v>26</v>
      </c>
      <c r="O35" s="31" t="s">
        <v>27</v>
      </c>
      <c r="P35" s="29" t="s">
        <v>61</v>
      </c>
      <c r="Q35" s="29" t="s">
        <v>50</v>
      </c>
      <c r="R35" s="26"/>
      <c r="S35" s="19"/>
      <c r="T35" s="19" t="s">
        <v>353</v>
      </c>
    </row>
    <row r="36" spans="1:20" s="2" customFormat="1" ht="12" customHeight="1">
      <c r="A36" s="18">
        <v>29</v>
      </c>
      <c r="B36" s="32"/>
      <c r="C36" s="43" t="s">
        <v>387</v>
      </c>
      <c r="D36" s="43" t="s">
        <v>392</v>
      </c>
      <c r="E36" s="35"/>
      <c r="F36" s="35" t="s">
        <v>94</v>
      </c>
      <c r="G36" s="37" t="s">
        <v>39</v>
      </c>
      <c r="H36" s="35" t="s">
        <v>44</v>
      </c>
      <c r="I36" s="56" t="s">
        <v>23</v>
      </c>
      <c r="J36" s="57">
        <v>43056</v>
      </c>
      <c r="K36" s="58">
        <f t="shared" ca="1" si="0"/>
        <v>8</v>
      </c>
      <c r="L36" s="35" t="s">
        <v>45</v>
      </c>
      <c r="M36" s="35" t="s">
        <v>25</v>
      </c>
      <c r="N36" s="35" t="s">
        <v>26</v>
      </c>
      <c r="O36" s="37" t="s">
        <v>27</v>
      </c>
      <c r="P36" s="35" t="s">
        <v>62</v>
      </c>
      <c r="Q36" s="35" t="s">
        <v>46</v>
      </c>
      <c r="R36" s="32"/>
      <c r="S36" s="19"/>
      <c r="T36" s="19" t="s">
        <v>353</v>
      </c>
    </row>
    <row r="37" spans="1:20" s="2" customFormat="1" ht="12" customHeight="1">
      <c r="A37" s="13">
        <v>30</v>
      </c>
      <c r="B37" s="20" t="s">
        <v>95</v>
      </c>
      <c r="C37" s="21" t="s">
        <v>393</v>
      </c>
      <c r="D37" s="22" t="s">
        <v>394</v>
      </c>
      <c r="E37" s="38" t="s">
        <v>96</v>
      </c>
      <c r="F37" s="25" t="s">
        <v>96</v>
      </c>
      <c r="G37" s="24" t="s">
        <v>21</v>
      </c>
      <c r="H37" s="25" t="s">
        <v>22</v>
      </c>
      <c r="I37" s="50" t="s">
        <v>97</v>
      </c>
      <c r="J37" s="51">
        <v>32356</v>
      </c>
      <c r="K37" s="52">
        <f t="shared" ca="1" si="0"/>
        <v>38</v>
      </c>
      <c r="L37" s="25" t="s">
        <v>24</v>
      </c>
      <c r="M37" s="25" t="s">
        <v>25</v>
      </c>
      <c r="N37" s="25" t="s">
        <v>26</v>
      </c>
      <c r="O37" s="24" t="s">
        <v>27</v>
      </c>
      <c r="P37" s="25" t="s">
        <v>98</v>
      </c>
      <c r="Q37" s="25" t="s">
        <v>99</v>
      </c>
      <c r="R37" s="20" t="s">
        <v>30</v>
      </c>
      <c r="S37" s="19"/>
      <c r="T37" s="19" t="s">
        <v>350</v>
      </c>
    </row>
    <row r="38" spans="1:20" s="2" customFormat="1" ht="12" customHeight="1">
      <c r="A38" s="13">
        <v>31</v>
      </c>
      <c r="B38" s="26"/>
      <c r="C38" s="27" t="s">
        <v>393</v>
      </c>
      <c r="D38" s="28" t="s">
        <v>395</v>
      </c>
      <c r="E38" s="29"/>
      <c r="F38" s="29" t="s">
        <v>100</v>
      </c>
      <c r="G38" s="31" t="s">
        <v>39</v>
      </c>
      <c r="H38" s="29" t="s">
        <v>40</v>
      </c>
      <c r="I38" s="53" t="s">
        <v>101</v>
      </c>
      <c r="J38" s="54">
        <v>31761</v>
      </c>
      <c r="K38" s="55">
        <f t="shared" ca="1" si="0"/>
        <v>39</v>
      </c>
      <c r="L38" s="29" t="s">
        <v>24</v>
      </c>
      <c r="M38" s="29" t="s">
        <v>25</v>
      </c>
      <c r="N38" s="29" t="s">
        <v>26</v>
      </c>
      <c r="O38" s="31" t="s">
        <v>27</v>
      </c>
      <c r="P38" s="29" t="s">
        <v>98</v>
      </c>
      <c r="Q38" s="29" t="s">
        <v>42</v>
      </c>
      <c r="R38" s="26"/>
      <c r="S38" s="19"/>
      <c r="T38" s="19" t="s">
        <v>350</v>
      </c>
    </row>
    <row r="39" spans="1:20" s="2" customFormat="1" ht="12" customHeight="1">
      <c r="A39" s="18">
        <v>32</v>
      </c>
      <c r="B39" s="26"/>
      <c r="C39" s="27" t="s">
        <v>393</v>
      </c>
      <c r="D39" s="28" t="s">
        <v>396</v>
      </c>
      <c r="E39" s="29"/>
      <c r="F39" s="29" t="s">
        <v>397</v>
      </c>
      <c r="G39" s="31" t="s">
        <v>21</v>
      </c>
      <c r="H39" s="29" t="s">
        <v>44</v>
      </c>
      <c r="I39" s="53" t="s">
        <v>97</v>
      </c>
      <c r="J39" s="54">
        <v>41271</v>
      </c>
      <c r="K39" s="55">
        <f t="shared" ca="1" si="0"/>
        <v>13</v>
      </c>
      <c r="L39" s="29" t="s">
        <v>45</v>
      </c>
      <c r="M39" s="29" t="s">
        <v>25</v>
      </c>
      <c r="N39" s="29" t="s">
        <v>26</v>
      </c>
      <c r="O39" s="31" t="s">
        <v>27</v>
      </c>
      <c r="P39" s="29" t="s">
        <v>61</v>
      </c>
      <c r="Q39" s="29" t="s">
        <v>50</v>
      </c>
      <c r="R39" s="26"/>
      <c r="S39" s="19"/>
      <c r="T39" s="19" t="s">
        <v>350</v>
      </c>
    </row>
    <row r="40" spans="1:20" s="2" customFormat="1" ht="12" customHeight="1">
      <c r="A40" s="13">
        <v>33</v>
      </c>
      <c r="B40" s="26"/>
      <c r="C40" s="27" t="s">
        <v>393</v>
      </c>
      <c r="D40" s="28" t="s">
        <v>398</v>
      </c>
      <c r="E40" s="29"/>
      <c r="F40" s="29" t="s">
        <v>102</v>
      </c>
      <c r="G40" s="31" t="s">
        <v>39</v>
      </c>
      <c r="H40" s="29" t="s">
        <v>44</v>
      </c>
      <c r="I40" s="53" t="s">
        <v>23</v>
      </c>
      <c r="J40" s="54">
        <v>44199</v>
      </c>
      <c r="K40" s="55">
        <f t="shared" ca="1" si="0"/>
        <v>5</v>
      </c>
      <c r="L40" s="29" t="s">
        <v>45</v>
      </c>
      <c r="M40" s="29" t="s">
        <v>25</v>
      </c>
      <c r="N40" s="29" t="s">
        <v>26</v>
      </c>
      <c r="O40" s="31" t="s">
        <v>27</v>
      </c>
      <c r="P40" s="29" t="s">
        <v>62</v>
      </c>
      <c r="Q40" s="29" t="s">
        <v>63</v>
      </c>
      <c r="R40" s="26"/>
      <c r="S40" s="19"/>
      <c r="T40" s="19" t="s">
        <v>350</v>
      </c>
    </row>
    <row r="41" spans="1:20" s="2" customFormat="1" ht="12" customHeight="1">
      <c r="A41" s="13">
        <v>34</v>
      </c>
      <c r="B41" s="32"/>
      <c r="C41" s="33" t="s">
        <v>393</v>
      </c>
      <c r="D41" s="34" t="s">
        <v>398</v>
      </c>
      <c r="E41" s="35"/>
      <c r="F41" s="35" t="s">
        <v>399</v>
      </c>
      <c r="G41" s="37" t="s">
        <v>39</v>
      </c>
      <c r="H41" s="35" t="s">
        <v>44</v>
      </c>
      <c r="I41" s="56" t="s">
        <v>23</v>
      </c>
      <c r="J41" s="57">
        <v>44199</v>
      </c>
      <c r="K41" s="58">
        <f t="shared" ca="1" si="0"/>
        <v>5</v>
      </c>
      <c r="L41" s="35" t="s">
        <v>45</v>
      </c>
      <c r="M41" s="35" t="s">
        <v>25</v>
      </c>
      <c r="N41" s="35" t="s">
        <v>26</v>
      </c>
      <c r="O41" s="37" t="s">
        <v>27</v>
      </c>
      <c r="P41" s="35" t="s">
        <v>62</v>
      </c>
      <c r="Q41" s="35" t="s">
        <v>63</v>
      </c>
      <c r="R41" s="32"/>
      <c r="S41" s="19"/>
      <c r="T41" s="19" t="s">
        <v>350</v>
      </c>
    </row>
    <row r="42" spans="1:20" s="2" customFormat="1" ht="12" customHeight="1">
      <c r="A42" s="18">
        <v>35</v>
      </c>
      <c r="B42" s="20" t="s">
        <v>103</v>
      </c>
      <c r="C42" s="41" t="s">
        <v>400</v>
      </c>
      <c r="D42" s="41" t="s">
        <v>401</v>
      </c>
      <c r="E42" s="38" t="s">
        <v>104</v>
      </c>
      <c r="F42" s="38" t="s">
        <v>104</v>
      </c>
      <c r="G42" s="24" t="s">
        <v>21</v>
      </c>
      <c r="H42" s="25" t="s">
        <v>22</v>
      </c>
      <c r="I42" s="50" t="s">
        <v>23</v>
      </c>
      <c r="J42" s="51">
        <v>30386</v>
      </c>
      <c r="K42" s="52">
        <f t="shared" ca="1" si="0"/>
        <v>43</v>
      </c>
      <c r="L42" s="25" t="s">
        <v>24</v>
      </c>
      <c r="M42" s="25" t="s">
        <v>25</v>
      </c>
      <c r="N42" s="25" t="s">
        <v>26</v>
      </c>
      <c r="O42" s="24" t="s">
        <v>27</v>
      </c>
      <c r="P42" s="25" t="s">
        <v>105</v>
      </c>
      <c r="Q42" s="25" t="s">
        <v>35</v>
      </c>
      <c r="R42" s="20" t="s">
        <v>36</v>
      </c>
      <c r="S42" s="19"/>
      <c r="T42" s="19" t="s">
        <v>353</v>
      </c>
    </row>
    <row r="43" spans="1:20" s="2" customFormat="1" ht="12" customHeight="1">
      <c r="A43" s="13">
        <v>36</v>
      </c>
      <c r="B43" s="26"/>
      <c r="C43" s="42" t="s">
        <v>400</v>
      </c>
      <c r="D43" s="42" t="s">
        <v>402</v>
      </c>
      <c r="E43" s="29"/>
      <c r="F43" s="29" t="s">
        <v>106</v>
      </c>
      <c r="G43" s="31" t="s">
        <v>39</v>
      </c>
      <c r="H43" s="29" t="s">
        <v>40</v>
      </c>
      <c r="I43" s="53" t="s">
        <v>23</v>
      </c>
      <c r="J43" s="54">
        <v>29238</v>
      </c>
      <c r="K43" s="55">
        <f t="shared" ca="1" si="0"/>
        <v>46</v>
      </c>
      <c r="L43" s="29" t="s">
        <v>24</v>
      </c>
      <c r="M43" s="29" t="s">
        <v>25</v>
      </c>
      <c r="N43" s="29" t="s">
        <v>26</v>
      </c>
      <c r="O43" s="31" t="s">
        <v>27</v>
      </c>
      <c r="P43" s="29" t="s">
        <v>105</v>
      </c>
      <c r="Q43" s="29" t="s">
        <v>35</v>
      </c>
      <c r="R43" s="26"/>
      <c r="S43" s="19"/>
      <c r="T43" s="19" t="s">
        <v>353</v>
      </c>
    </row>
    <row r="44" spans="1:20" s="2" customFormat="1" ht="12" customHeight="1">
      <c r="A44" s="13">
        <v>37</v>
      </c>
      <c r="B44" s="26"/>
      <c r="C44" s="42" t="s">
        <v>400</v>
      </c>
      <c r="D44" s="42" t="s">
        <v>403</v>
      </c>
      <c r="E44" s="29"/>
      <c r="F44" s="29" t="s">
        <v>107</v>
      </c>
      <c r="G44" s="31" t="s">
        <v>21</v>
      </c>
      <c r="H44" s="29" t="s">
        <v>44</v>
      </c>
      <c r="I44" s="53" t="s">
        <v>23</v>
      </c>
      <c r="J44" s="54">
        <v>40379</v>
      </c>
      <c r="K44" s="55">
        <f t="shared" ca="1" si="0"/>
        <v>16</v>
      </c>
      <c r="L44" s="29" t="s">
        <v>45</v>
      </c>
      <c r="M44" s="29" t="s">
        <v>25</v>
      </c>
      <c r="N44" s="29" t="s">
        <v>26</v>
      </c>
      <c r="O44" s="31" t="s">
        <v>27</v>
      </c>
      <c r="P44" s="29" t="s">
        <v>61</v>
      </c>
      <c r="Q44" s="29" t="s">
        <v>50</v>
      </c>
      <c r="R44" s="26"/>
      <c r="S44" s="19"/>
      <c r="T44" s="19" t="s">
        <v>353</v>
      </c>
    </row>
    <row r="45" spans="1:20" s="2" customFormat="1" ht="12" customHeight="1">
      <c r="A45" s="18">
        <v>38</v>
      </c>
      <c r="B45" s="32"/>
      <c r="C45" s="43" t="s">
        <v>400</v>
      </c>
      <c r="D45" s="43" t="s">
        <v>404</v>
      </c>
      <c r="E45" s="35"/>
      <c r="F45" s="35" t="s">
        <v>108</v>
      </c>
      <c r="G45" s="37" t="s">
        <v>21</v>
      </c>
      <c r="H45" s="35" t="s">
        <v>44</v>
      </c>
      <c r="I45" s="56" t="s">
        <v>23</v>
      </c>
      <c r="J45" s="57">
        <v>42194</v>
      </c>
      <c r="K45" s="58">
        <f t="shared" ca="1" si="0"/>
        <v>11</v>
      </c>
      <c r="L45" s="35" t="s">
        <v>45</v>
      </c>
      <c r="M45" s="35" t="s">
        <v>25</v>
      </c>
      <c r="N45" s="35" t="s">
        <v>26</v>
      </c>
      <c r="O45" s="37" t="s">
        <v>27</v>
      </c>
      <c r="P45" s="35" t="s">
        <v>62</v>
      </c>
      <c r="Q45" s="35" t="s">
        <v>46</v>
      </c>
      <c r="R45" s="32"/>
      <c r="S45" s="19"/>
      <c r="T45" s="19" t="s">
        <v>353</v>
      </c>
    </row>
    <row r="46" spans="1:20" s="2" customFormat="1" ht="12" customHeight="1">
      <c r="A46" s="13">
        <v>39</v>
      </c>
      <c r="B46" s="20" t="s">
        <v>109</v>
      </c>
      <c r="C46" s="41" t="s">
        <v>405</v>
      </c>
      <c r="D46" s="41" t="s">
        <v>406</v>
      </c>
      <c r="E46" s="38" t="s">
        <v>110</v>
      </c>
      <c r="F46" s="38" t="s">
        <v>110</v>
      </c>
      <c r="G46" s="24" t="s">
        <v>21</v>
      </c>
      <c r="H46" s="25" t="s">
        <v>22</v>
      </c>
      <c r="I46" s="50" t="s">
        <v>111</v>
      </c>
      <c r="J46" s="51">
        <v>29715</v>
      </c>
      <c r="K46" s="52">
        <f t="shared" ca="1" si="0"/>
        <v>45</v>
      </c>
      <c r="L46" s="25" t="s">
        <v>24</v>
      </c>
      <c r="M46" s="25" t="s">
        <v>25</v>
      </c>
      <c r="N46" s="25" t="s">
        <v>26</v>
      </c>
      <c r="O46" s="24" t="s">
        <v>112</v>
      </c>
      <c r="P46" s="25" t="s">
        <v>34</v>
      </c>
      <c r="Q46" s="25" t="s">
        <v>29</v>
      </c>
      <c r="R46" s="20" t="s">
        <v>36</v>
      </c>
      <c r="S46" s="19"/>
      <c r="T46" s="19" t="s">
        <v>353</v>
      </c>
    </row>
    <row r="47" spans="1:20" s="2" customFormat="1" ht="12" customHeight="1">
      <c r="A47" s="13">
        <v>40</v>
      </c>
      <c r="B47" s="26"/>
      <c r="C47" s="42" t="s">
        <v>405</v>
      </c>
      <c r="D47" s="42" t="s">
        <v>407</v>
      </c>
      <c r="E47" s="29"/>
      <c r="F47" s="29" t="s">
        <v>113</v>
      </c>
      <c r="G47" s="31" t="s">
        <v>39</v>
      </c>
      <c r="H47" s="29" t="s">
        <v>40</v>
      </c>
      <c r="I47" s="53" t="s">
        <v>101</v>
      </c>
      <c r="J47" s="54">
        <v>30074</v>
      </c>
      <c r="K47" s="55">
        <f t="shared" ca="1" si="0"/>
        <v>44</v>
      </c>
      <c r="L47" s="29" t="s">
        <v>24</v>
      </c>
      <c r="M47" s="29" t="s">
        <v>25</v>
      </c>
      <c r="N47" s="29" t="s">
        <v>26</v>
      </c>
      <c r="O47" s="31" t="s">
        <v>27</v>
      </c>
      <c r="P47" s="29" t="s">
        <v>34</v>
      </c>
      <c r="Q47" s="29" t="s">
        <v>35</v>
      </c>
      <c r="R47" s="26"/>
      <c r="S47" s="19"/>
      <c r="T47" s="19" t="s">
        <v>353</v>
      </c>
    </row>
    <row r="48" spans="1:20" s="2" customFormat="1" ht="12" customHeight="1">
      <c r="A48" s="18">
        <v>41</v>
      </c>
      <c r="B48" s="26"/>
      <c r="C48" s="42" t="s">
        <v>405</v>
      </c>
      <c r="D48" s="42" t="s">
        <v>408</v>
      </c>
      <c r="E48" s="29"/>
      <c r="F48" s="29" t="s">
        <v>114</v>
      </c>
      <c r="G48" s="31" t="s">
        <v>21</v>
      </c>
      <c r="H48" s="29" t="s">
        <v>44</v>
      </c>
      <c r="I48" s="53" t="s">
        <v>101</v>
      </c>
      <c r="J48" s="54">
        <v>38540</v>
      </c>
      <c r="K48" s="55">
        <f t="shared" ca="1" si="0"/>
        <v>21</v>
      </c>
      <c r="L48" s="29" t="s">
        <v>45</v>
      </c>
      <c r="M48" s="29" t="s">
        <v>25</v>
      </c>
      <c r="N48" s="29" t="s">
        <v>26</v>
      </c>
      <c r="O48" s="31" t="s">
        <v>27</v>
      </c>
      <c r="P48" s="29" t="s">
        <v>49</v>
      </c>
      <c r="Q48" s="29" t="s">
        <v>50</v>
      </c>
      <c r="R48" s="26"/>
      <c r="S48" s="19"/>
      <c r="T48" s="19" t="s">
        <v>353</v>
      </c>
    </row>
    <row r="49" spans="1:20" s="2" customFormat="1" ht="12" customHeight="1">
      <c r="A49" s="13">
        <v>42</v>
      </c>
      <c r="B49" s="32"/>
      <c r="C49" s="43" t="s">
        <v>405</v>
      </c>
      <c r="D49" s="43" t="s">
        <v>409</v>
      </c>
      <c r="E49" s="35"/>
      <c r="F49" s="35" t="s">
        <v>115</v>
      </c>
      <c r="G49" s="37" t="s">
        <v>21</v>
      </c>
      <c r="H49" s="35" t="s">
        <v>44</v>
      </c>
      <c r="I49" s="56" t="s">
        <v>23</v>
      </c>
      <c r="J49" s="57">
        <v>40448</v>
      </c>
      <c r="K49" s="58">
        <f t="shared" ca="1" si="0"/>
        <v>16</v>
      </c>
      <c r="L49" s="35" t="s">
        <v>45</v>
      </c>
      <c r="M49" s="35" t="s">
        <v>25</v>
      </c>
      <c r="N49" s="35" t="s">
        <v>26</v>
      </c>
      <c r="O49" s="37" t="s">
        <v>27</v>
      </c>
      <c r="P49" s="35" t="s">
        <v>61</v>
      </c>
      <c r="Q49" s="35" t="s">
        <v>50</v>
      </c>
      <c r="R49" s="32"/>
      <c r="S49" s="19"/>
      <c r="T49" s="19" t="s">
        <v>353</v>
      </c>
    </row>
    <row r="50" spans="1:20" s="2" customFormat="1" ht="12" customHeight="1">
      <c r="A50" s="13">
        <v>43</v>
      </c>
      <c r="B50" s="20" t="s">
        <v>116</v>
      </c>
      <c r="C50" s="21" t="s">
        <v>410</v>
      </c>
      <c r="D50" s="22" t="s">
        <v>411</v>
      </c>
      <c r="E50" s="38" t="s">
        <v>117</v>
      </c>
      <c r="F50" s="38" t="s">
        <v>117</v>
      </c>
      <c r="G50" s="24" t="s">
        <v>21</v>
      </c>
      <c r="H50" s="25" t="s">
        <v>22</v>
      </c>
      <c r="I50" s="50" t="s">
        <v>23</v>
      </c>
      <c r="J50" s="51">
        <v>34244</v>
      </c>
      <c r="K50" s="52">
        <f t="shared" ca="1" si="0"/>
        <v>33</v>
      </c>
      <c r="L50" s="25" t="s">
        <v>24</v>
      </c>
      <c r="M50" s="25" t="s">
        <v>25</v>
      </c>
      <c r="N50" s="25" t="s">
        <v>26</v>
      </c>
      <c r="O50" s="24" t="s">
        <v>27</v>
      </c>
      <c r="P50" s="25" t="s">
        <v>34</v>
      </c>
      <c r="Q50" s="25" t="s">
        <v>29</v>
      </c>
      <c r="R50" s="20" t="s">
        <v>30</v>
      </c>
      <c r="S50" s="19"/>
      <c r="T50" s="19" t="s">
        <v>353</v>
      </c>
    </row>
    <row r="51" spans="1:20" s="2" customFormat="1" ht="12" customHeight="1">
      <c r="A51" s="18">
        <v>44</v>
      </c>
      <c r="B51" s="26"/>
      <c r="C51" s="27" t="s">
        <v>410</v>
      </c>
      <c r="D51" s="28" t="s">
        <v>412</v>
      </c>
      <c r="E51" s="29"/>
      <c r="F51" s="29" t="s">
        <v>118</v>
      </c>
      <c r="G51" s="31" t="s">
        <v>39</v>
      </c>
      <c r="H51" s="29" t="s">
        <v>40</v>
      </c>
      <c r="I51" s="53" t="s">
        <v>119</v>
      </c>
      <c r="J51" s="54">
        <v>34523</v>
      </c>
      <c r="K51" s="55">
        <f t="shared" ca="1" si="0"/>
        <v>32</v>
      </c>
      <c r="L51" s="29" t="s">
        <v>24</v>
      </c>
      <c r="M51" s="29" t="s">
        <v>25</v>
      </c>
      <c r="N51" s="29" t="s">
        <v>26</v>
      </c>
      <c r="O51" s="31" t="s">
        <v>27</v>
      </c>
      <c r="P51" s="29" t="s">
        <v>34</v>
      </c>
      <c r="Q51" s="29" t="s">
        <v>42</v>
      </c>
      <c r="R51" s="26"/>
      <c r="S51" s="19"/>
      <c r="T51" s="19" t="s">
        <v>353</v>
      </c>
    </row>
    <row r="52" spans="1:20" s="2" customFormat="1" ht="12" customHeight="1">
      <c r="A52" s="13">
        <v>45</v>
      </c>
      <c r="B52" s="26"/>
      <c r="C52" s="27" t="s">
        <v>410</v>
      </c>
      <c r="D52" s="28" t="s">
        <v>413</v>
      </c>
      <c r="E52" s="29"/>
      <c r="F52" s="29" t="s">
        <v>120</v>
      </c>
      <c r="G52" s="31" t="s">
        <v>21</v>
      </c>
      <c r="H52" s="29" t="s">
        <v>44</v>
      </c>
      <c r="I52" s="53" t="s">
        <v>23</v>
      </c>
      <c r="J52" s="54">
        <v>43241</v>
      </c>
      <c r="K52" s="55">
        <f t="shared" ca="1" si="0"/>
        <v>8</v>
      </c>
      <c r="L52" s="29" t="s">
        <v>45</v>
      </c>
      <c r="M52" s="29" t="s">
        <v>25</v>
      </c>
      <c r="N52" s="29" t="s">
        <v>26</v>
      </c>
      <c r="O52" s="31" t="s">
        <v>27</v>
      </c>
      <c r="P52" s="29" t="s">
        <v>62</v>
      </c>
      <c r="Q52" s="29" t="s">
        <v>63</v>
      </c>
      <c r="R52" s="26"/>
      <c r="S52" s="19"/>
      <c r="T52" s="19" t="s">
        <v>353</v>
      </c>
    </row>
    <row r="53" spans="1:20" s="2" customFormat="1" ht="12" customHeight="1">
      <c r="A53" s="13">
        <v>46</v>
      </c>
      <c r="B53" s="26"/>
      <c r="C53" s="27" t="s">
        <v>410</v>
      </c>
      <c r="D53" s="28" t="s">
        <v>414</v>
      </c>
      <c r="E53" s="29"/>
      <c r="F53" s="29" t="s">
        <v>121</v>
      </c>
      <c r="G53" s="31" t="s">
        <v>21</v>
      </c>
      <c r="H53" s="29" t="s">
        <v>44</v>
      </c>
      <c r="I53" s="53" t="s">
        <v>23</v>
      </c>
      <c r="J53" s="54">
        <v>43242</v>
      </c>
      <c r="K53" s="55">
        <f t="shared" ca="1" si="0"/>
        <v>8</v>
      </c>
      <c r="L53" s="29" t="s">
        <v>45</v>
      </c>
      <c r="M53" s="29" t="s">
        <v>25</v>
      </c>
      <c r="N53" s="29" t="s">
        <v>26</v>
      </c>
      <c r="O53" s="31" t="s">
        <v>27</v>
      </c>
      <c r="P53" s="29" t="s">
        <v>62</v>
      </c>
      <c r="Q53" s="29" t="s">
        <v>63</v>
      </c>
      <c r="R53" s="26"/>
      <c r="S53" s="19"/>
      <c r="T53" s="19" t="s">
        <v>353</v>
      </c>
    </row>
    <row r="54" spans="1:20" s="2" customFormat="1" ht="12" customHeight="1">
      <c r="A54" s="18">
        <v>47</v>
      </c>
      <c r="B54" s="32"/>
      <c r="C54" s="33" t="s">
        <v>410</v>
      </c>
      <c r="D54" s="34" t="s">
        <v>172</v>
      </c>
      <c r="E54" s="35"/>
      <c r="F54" s="35" t="s">
        <v>122</v>
      </c>
      <c r="G54" s="37" t="s">
        <v>21</v>
      </c>
      <c r="H54" s="35" t="s">
        <v>44</v>
      </c>
      <c r="I54" s="56" t="s">
        <v>23</v>
      </c>
      <c r="J54" s="57">
        <v>44339</v>
      </c>
      <c r="K54" s="58">
        <f t="shared" ca="1" si="0"/>
        <v>5</v>
      </c>
      <c r="L54" s="35" t="s">
        <v>45</v>
      </c>
      <c r="M54" s="35" t="s">
        <v>25</v>
      </c>
      <c r="N54" s="35" t="s">
        <v>26</v>
      </c>
      <c r="O54" s="37" t="s">
        <v>27</v>
      </c>
      <c r="P54" s="35" t="s">
        <v>62</v>
      </c>
      <c r="Q54" s="35" t="s">
        <v>63</v>
      </c>
      <c r="R54" s="32"/>
      <c r="S54" s="19"/>
      <c r="T54" s="19" t="s">
        <v>353</v>
      </c>
    </row>
    <row r="55" spans="1:20" s="2" customFormat="1" ht="12" customHeight="1">
      <c r="A55" s="13">
        <v>48</v>
      </c>
      <c r="B55" s="20" t="s">
        <v>123</v>
      </c>
      <c r="C55" s="41" t="s">
        <v>415</v>
      </c>
      <c r="D55" s="41" t="s">
        <v>416</v>
      </c>
      <c r="E55" s="38" t="s">
        <v>124</v>
      </c>
      <c r="F55" s="38" t="s">
        <v>124</v>
      </c>
      <c r="G55" s="24" t="s">
        <v>21</v>
      </c>
      <c r="H55" s="25" t="s">
        <v>22</v>
      </c>
      <c r="I55" s="50" t="s">
        <v>125</v>
      </c>
      <c r="J55" s="51">
        <v>26498</v>
      </c>
      <c r="K55" s="52">
        <f t="shared" ca="1" si="0"/>
        <v>54</v>
      </c>
      <c r="L55" s="25" t="s">
        <v>24</v>
      </c>
      <c r="M55" s="25" t="s">
        <v>25</v>
      </c>
      <c r="N55" s="25" t="s">
        <v>26</v>
      </c>
      <c r="O55" s="24" t="s">
        <v>27</v>
      </c>
      <c r="P55" s="25" t="s">
        <v>126</v>
      </c>
      <c r="Q55" s="25" t="s">
        <v>35</v>
      </c>
      <c r="R55" s="20" t="s">
        <v>36</v>
      </c>
      <c r="S55" s="19"/>
      <c r="T55" s="19" t="s">
        <v>353</v>
      </c>
    </row>
    <row r="56" spans="1:20" s="2" customFormat="1" ht="12" customHeight="1">
      <c r="A56" s="13">
        <v>49</v>
      </c>
      <c r="B56" s="26"/>
      <c r="C56" s="42" t="s">
        <v>415</v>
      </c>
      <c r="D56" s="42" t="s">
        <v>417</v>
      </c>
      <c r="E56" s="29"/>
      <c r="F56" s="29" t="s">
        <v>127</v>
      </c>
      <c r="G56" s="31" t="s">
        <v>39</v>
      </c>
      <c r="H56" s="29" t="s">
        <v>40</v>
      </c>
      <c r="I56" s="53" t="s">
        <v>128</v>
      </c>
      <c r="J56" s="54">
        <v>32320</v>
      </c>
      <c r="K56" s="55">
        <f t="shared" ca="1" si="0"/>
        <v>38</v>
      </c>
      <c r="L56" s="29" t="s">
        <v>24</v>
      </c>
      <c r="M56" s="29" t="s">
        <v>25</v>
      </c>
      <c r="N56" s="29" t="s">
        <v>26</v>
      </c>
      <c r="O56" s="31" t="s">
        <v>27</v>
      </c>
      <c r="P56" s="29" t="s">
        <v>28</v>
      </c>
      <c r="Q56" s="29" t="s">
        <v>42</v>
      </c>
      <c r="R56" s="26"/>
      <c r="S56" s="19"/>
      <c r="T56" s="19" t="s">
        <v>353</v>
      </c>
    </row>
    <row r="57" spans="1:20" s="2" customFormat="1" ht="12" customHeight="1">
      <c r="A57" s="18">
        <v>50</v>
      </c>
      <c r="B57" s="26"/>
      <c r="C57" s="42" t="s">
        <v>415</v>
      </c>
      <c r="D57" s="42" t="s">
        <v>418</v>
      </c>
      <c r="E57" s="29"/>
      <c r="F57" s="29" t="s">
        <v>129</v>
      </c>
      <c r="G57" s="31" t="s">
        <v>39</v>
      </c>
      <c r="H57" s="29" t="s">
        <v>44</v>
      </c>
      <c r="I57" s="53" t="s">
        <v>128</v>
      </c>
      <c r="J57" s="54">
        <v>38220</v>
      </c>
      <c r="K57" s="55">
        <f t="shared" ca="1" si="0"/>
        <v>22</v>
      </c>
      <c r="L57" s="29" t="s">
        <v>45</v>
      </c>
      <c r="M57" s="29" t="s">
        <v>25</v>
      </c>
      <c r="N57" s="29" t="s">
        <v>26</v>
      </c>
      <c r="O57" s="31" t="s">
        <v>27</v>
      </c>
      <c r="P57" s="29" t="s">
        <v>91</v>
      </c>
      <c r="Q57" s="29" t="s">
        <v>50</v>
      </c>
      <c r="R57" s="26"/>
      <c r="S57" s="19"/>
      <c r="T57" s="19" t="s">
        <v>353</v>
      </c>
    </row>
    <row r="58" spans="1:20" s="2" customFormat="1" ht="12" customHeight="1">
      <c r="A58" s="13">
        <v>51</v>
      </c>
      <c r="B58" s="32"/>
      <c r="C58" s="43" t="s">
        <v>415</v>
      </c>
      <c r="D58" s="43" t="s">
        <v>419</v>
      </c>
      <c r="E58" s="35"/>
      <c r="F58" s="35" t="s">
        <v>130</v>
      </c>
      <c r="G58" s="37" t="s">
        <v>21</v>
      </c>
      <c r="H58" s="35" t="s">
        <v>44</v>
      </c>
      <c r="I58" s="56" t="s">
        <v>128</v>
      </c>
      <c r="J58" s="57">
        <v>40666</v>
      </c>
      <c r="K58" s="58">
        <f t="shared" ca="1" si="0"/>
        <v>15</v>
      </c>
      <c r="L58" s="35" t="s">
        <v>45</v>
      </c>
      <c r="M58" s="35" t="s">
        <v>25</v>
      </c>
      <c r="N58" s="35" t="s">
        <v>26</v>
      </c>
      <c r="O58" s="37" t="s">
        <v>27</v>
      </c>
      <c r="P58" s="35" t="s">
        <v>61</v>
      </c>
      <c r="Q58" s="35" t="s">
        <v>50</v>
      </c>
      <c r="R58" s="32"/>
      <c r="S58" s="19"/>
      <c r="T58" s="19" t="s">
        <v>353</v>
      </c>
    </row>
    <row r="59" spans="1:20" s="2" customFormat="1" ht="12" customHeight="1">
      <c r="A59" s="13">
        <v>52</v>
      </c>
      <c r="B59" s="25" t="s">
        <v>131</v>
      </c>
      <c r="C59" s="41" t="s">
        <v>420</v>
      </c>
      <c r="D59" s="41" t="s">
        <v>421</v>
      </c>
      <c r="E59" s="38" t="s">
        <v>132</v>
      </c>
      <c r="F59" s="38" t="s">
        <v>132</v>
      </c>
      <c r="G59" s="24" t="s">
        <v>21</v>
      </c>
      <c r="H59" s="25" t="s">
        <v>22</v>
      </c>
      <c r="I59" s="50" t="s">
        <v>133</v>
      </c>
      <c r="J59" s="51">
        <v>26759</v>
      </c>
      <c r="K59" s="52">
        <f t="shared" ca="1" si="0"/>
        <v>53</v>
      </c>
      <c r="L59" s="25" t="s">
        <v>24</v>
      </c>
      <c r="M59" s="25" t="s">
        <v>25</v>
      </c>
      <c r="N59" s="25" t="s">
        <v>26</v>
      </c>
      <c r="O59" s="24" t="s">
        <v>112</v>
      </c>
      <c r="P59" s="25" t="s">
        <v>34</v>
      </c>
      <c r="Q59" s="25" t="s">
        <v>35</v>
      </c>
      <c r="R59" s="20" t="s">
        <v>36</v>
      </c>
      <c r="S59" s="19"/>
      <c r="T59" s="19" t="s">
        <v>353</v>
      </c>
    </row>
    <row r="60" spans="1:20" s="2" customFormat="1" ht="12" customHeight="1">
      <c r="A60" s="18">
        <v>53</v>
      </c>
      <c r="B60" s="29"/>
      <c r="C60" s="42" t="s">
        <v>420</v>
      </c>
      <c r="D60" s="42" t="s">
        <v>422</v>
      </c>
      <c r="E60" s="29"/>
      <c r="F60" s="29" t="s">
        <v>134</v>
      </c>
      <c r="G60" s="31" t="s">
        <v>39</v>
      </c>
      <c r="H60" s="29" t="s">
        <v>40</v>
      </c>
      <c r="I60" s="53" t="s">
        <v>133</v>
      </c>
      <c r="J60" s="54">
        <v>28667</v>
      </c>
      <c r="K60" s="55">
        <f t="shared" ca="1" si="0"/>
        <v>48</v>
      </c>
      <c r="L60" s="29" t="s">
        <v>24</v>
      </c>
      <c r="M60" s="29" t="s">
        <v>25</v>
      </c>
      <c r="N60" s="29" t="s">
        <v>26</v>
      </c>
      <c r="O60" s="31" t="s">
        <v>112</v>
      </c>
      <c r="P60" s="29" t="s">
        <v>34</v>
      </c>
      <c r="Q60" s="29" t="s">
        <v>42</v>
      </c>
      <c r="R60" s="26"/>
      <c r="S60" s="19"/>
      <c r="T60" s="19" t="s">
        <v>353</v>
      </c>
    </row>
    <row r="61" spans="1:20" s="2" customFormat="1" ht="12" customHeight="1">
      <c r="A61" s="13">
        <v>54</v>
      </c>
      <c r="B61" s="29"/>
      <c r="C61" s="42" t="s">
        <v>420</v>
      </c>
      <c r="D61" s="42" t="s">
        <v>423</v>
      </c>
      <c r="E61" s="29"/>
      <c r="F61" s="29" t="s">
        <v>135</v>
      </c>
      <c r="G61" s="31" t="s">
        <v>21</v>
      </c>
      <c r="H61" s="29" t="s">
        <v>44</v>
      </c>
      <c r="I61" s="53" t="s">
        <v>133</v>
      </c>
      <c r="J61" s="54">
        <v>38325</v>
      </c>
      <c r="K61" s="55">
        <f t="shared" ca="1" si="0"/>
        <v>21</v>
      </c>
      <c r="L61" s="29" t="s">
        <v>45</v>
      </c>
      <c r="M61" s="29" t="s">
        <v>25</v>
      </c>
      <c r="N61" s="29" t="s">
        <v>26</v>
      </c>
      <c r="O61" s="31" t="s">
        <v>112</v>
      </c>
      <c r="P61" s="29" t="s">
        <v>91</v>
      </c>
      <c r="Q61" s="29" t="s">
        <v>50</v>
      </c>
      <c r="R61" s="26"/>
      <c r="S61" s="19"/>
      <c r="T61" s="19" t="s">
        <v>353</v>
      </c>
    </row>
    <row r="62" spans="1:20" s="2" customFormat="1" ht="12" customHeight="1">
      <c r="A62" s="13">
        <v>55</v>
      </c>
      <c r="B62" s="29"/>
      <c r="C62" s="42" t="s">
        <v>420</v>
      </c>
      <c r="D62" s="42" t="s">
        <v>424</v>
      </c>
      <c r="E62" s="29"/>
      <c r="F62" s="29" t="s">
        <v>136</v>
      </c>
      <c r="G62" s="31" t="s">
        <v>21</v>
      </c>
      <c r="H62" s="29" t="s">
        <v>44</v>
      </c>
      <c r="I62" s="53" t="s">
        <v>23</v>
      </c>
      <c r="J62" s="54">
        <v>39765</v>
      </c>
      <c r="K62" s="55">
        <f t="shared" ca="1" si="0"/>
        <v>17</v>
      </c>
      <c r="L62" s="29" t="s">
        <v>45</v>
      </c>
      <c r="M62" s="29" t="s">
        <v>25</v>
      </c>
      <c r="N62" s="29" t="s">
        <v>26</v>
      </c>
      <c r="O62" s="31" t="s">
        <v>27</v>
      </c>
      <c r="P62" s="29" t="s">
        <v>61</v>
      </c>
      <c r="Q62" s="29" t="s">
        <v>50</v>
      </c>
      <c r="R62" s="26"/>
      <c r="S62" s="19"/>
      <c r="T62" s="19" t="s">
        <v>353</v>
      </c>
    </row>
    <row r="63" spans="1:20" s="2" customFormat="1" ht="12" customHeight="1">
      <c r="A63" s="18">
        <v>56</v>
      </c>
      <c r="B63" s="35"/>
      <c r="C63" s="43" t="s">
        <v>420</v>
      </c>
      <c r="D63" s="43" t="s">
        <v>425</v>
      </c>
      <c r="E63" s="35"/>
      <c r="F63" s="35" t="s">
        <v>137</v>
      </c>
      <c r="G63" s="37" t="s">
        <v>21</v>
      </c>
      <c r="H63" s="35" t="s">
        <v>44</v>
      </c>
      <c r="I63" s="56" t="s">
        <v>23</v>
      </c>
      <c r="J63" s="57">
        <v>41913</v>
      </c>
      <c r="K63" s="58">
        <f t="shared" ca="1" si="0"/>
        <v>12</v>
      </c>
      <c r="L63" s="35" t="s">
        <v>45</v>
      </c>
      <c r="M63" s="35" t="s">
        <v>25</v>
      </c>
      <c r="N63" s="35" t="s">
        <v>26</v>
      </c>
      <c r="O63" s="37" t="s">
        <v>112</v>
      </c>
      <c r="P63" s="35" t="s">
        <v>62</v>
      </c>
      <c r="Q63" s="35" t="s">
        <v>46</v>
      </c>
      <c r="R63" s="32"/>
      <c r="S63" s="19"/>
      <c r="T63" s="19" t="s">
        <v>353</v>
      </c>
    </row>
    <row r="64" spans="1:20" s="2" customFormat="1" ht="12" customHeight="1">
      <c r="A64" s="13">
        <v>57</v>
      </c>
      <c r="B64" s="20" t="s">
        <v>138</v>
      </c>
      <c r="C64" s="21" t="s">
        <v>426</v>
      </c>
      <c r="D64" s="22" t="s">
        <v>427</v>
      </c>
      <c r="E64" s="38" t="s">
        <v>139</v>
      </c>
      <c r="F64" s="38" t="s">
        <v>139</v>
      </c>
      <c r="G64" s="24" t="s">
        <v>21</v>
      </c>
      <c r="H64" s="25" t="s">
        <v>22</v>
      </c>
      <c r="I64" s="50" t="s">
        <v>23</v>
      </c>
      <c r="J64" s="51">
        <v>29698</v>
      </c>
      <c r="K64" s="52">
        <f t="shared" ca="1" si="0"/>
        <v>45</v>
      </c>
      <c r="L64" s="25" t="s">
        <v>24</v>
      </c>
      <c r="M64" s="25" t="s">
        <v>25</v>
      </c>
      <c r="N64" s="25" t="s">
        <v>26</v>
      </c>
      <c r="O64" s="24" t="s">
        <v>27</v>
      </c>
      <c r="P64" s="25" t="s">
        <v>34</v>
      </c>
      <c r="Q64" s="25" t="s">
        <v>29</v>
      </c>
      <c r="R64" s="20" t="s">
        <v>30</v>
      </c>
      <c r="S64" s="19"/>
      <c r="T64" s="19" t="s">
        <v>350</v>
      </c>
    </row>
    <row r="65" spans="1:20" s="2" customFormat="1" ht="12" customHeight="1">
      <c r="A65" s="13">
        <v>58</v>
      </c>
      <c r="B65" s="26"/>
      <c r="C65" s="27" t="s">
        <v>426</v>
      </c>
      <c r="D65" s="28" t="s">
        <v>428</v>
      </c>
      <c r="E65" s="29"/>
      <c r="F65" s="29" t="s">
        <v>140</v>
      </c>
      <c r="G65" s="31" t="s">
        <v>21</v>
      </c>
      <c r="H65" s="29" t="s">
        <v>22</v>
      </c>
      <c r="I65" s="53" t="s">
        <v>23</v>
      </c>
      <c r="J65" s="54">
        <v>28973</v>
      </c>
      <c r="K65" s="55">
        <f t="shared" ca="1" si="0"/>
        <v>47</v>
      </c>
      <c r="L65" s="29" t="s">
        <v>24</v>
      </c>
      <c r="M65" s="29" t="s">
        <v>25</v>
      </c>
      <c r="N65" s="29" t="s">
        <v>26</v>
      </c>
      <c r="O65" s="31" t="s">
        <v>27</v>
      </c>
      <c r="P65" s="29" t="s">
        <v>34</v>
      </c>
      <c r="Q65" s="29" t="s">
        <v>35</v>
      </c>
      <c r="R65" s="26"/>
      <c r="S65" s="19"/>
      <c r="T65" s="19" t="s">
        <v>350</v>
      </c>
    </row>
    <row r="66" spans="1:20" s="2" customFormat="1" ht="12" customHeight="1">
      <c r="A66" s="18">
        <v>59</v>
      </c>
      <c r="B66" s="26"/>
      <c r="C66" s="27" t="s">
        <v>426</v>
      </c>
      <c r="D66" s="28" t="s">
        <v>429</v>
      </c>
      <c r="E66" s="29"/>
      <c r="F66" s="29" t="s">
        <v>141</v>
      </c>
      <c r="G66" s="31" t="s">
        <v>39</v>
      </c>
      <c r="H66" s="29" t="s">
        <v>44</v>
      </c>
      <c r="I66" s="53" t="s">
        <v>23</v>
      </c>
      <c r="J66" s="54">
        <v>37827</v>
      </c>
      <c r="K66" s="55">
        <f t="shared" ca="1" si="0"/>
        <v>23</v>
      </c>
      <c r="L66" s="29" t="s">
        <v>45</v>
      </c>
      <c r="M66" s="29" t="s">
        <v>25</v>
      </c>
      <c r="N66" s="29" t="s">
        <v>26</v>
      </c>
      <c r="O66" s="31" t="s">
        <v>27</v>
      </c>
      <c r="P66" s="29" t="s">
        <v>34</v>
      </c>
      <c r="Q66" s="29" t="s">
        <v>35</v>
      </c>
      <c r="R66" s="26"/>
      <c r="S66" s="19"/>
      <c r="T66" s="19" t="s">
        <v>350</v>
      </c>
    </row>
    <row r="67" spans="1:20" s="2" customFormat="1" ht="12" customHeight="1">
      <c r="A67" s="13">
        <v>60</v>
      </c>
      <c r="B67" s="26"/>
      <c r="C67" s="27" t="s">
        <v>426</v>
      </c>
      <c r="D67" s="28" t="s">
        <v>430</v>
      </c>
      <c r="E67" s="29"/>
      <c r="F67" s="29" t="s">
        <v>142</v>
      </c>
      <c r="G67" s="31" t="s">
        <v>21</v>
      </c>
      <c r="H67" s="29" t="s">
        <v>44</v>
      </c>
      <c r="I67" s="53" t="s">
        <v>23</v>
      </c>
      <c r="J67" s="54">
        <v>39692</v>
      </c>
      <c r="K67" s="55">
        <f t="shared" ca="1" si="0"/>
        <v>18</v>
      </c>
      <c r="L67" s="29" t="s">
        <v>45</v>
      </c>
      <c r="M67" s="29" t="s">
        <v>25</v>
      </c>
      <c r="N67" s="29" t="s">
        <v>26</v>
      </c>
      <c r="O67" s="31" t="s">
        <v>27</v>
      </c>
      <c r="P67" s="29" t="s">
        <v>68</v>
      </c>
      <c r="Q67" s="29" t="s">
        <v>50</v>
      </c>
      <c r="R67" s="26"/>
      <c r="S67" s="19"/>
      <c r="T67" s="19" t="s">
        <v>350</v>
      </c>
    </row>
    <row r="68" spans="1:20" s="2" customFormat="1" ht="12" customHeight="1">
      <c r="A68" s="13">
        <v>61</v>
      </c>
      <c r="B68" s="32"/>
      <c r="C68" s="33" t="s">
        <v>426</v>
      </c>
      <c r="D68" s="34" t="s">
        <v>431</v>
      </c>
      <c r="E68" s="35"/>
      <c r="F68" s="35" t="s">
        <v>143</v>
      </c>
      <c r="G68" s="37" t="s">
        <v>21</v>
      </c>
      <c r="H68" s="35" t="s">
        <v>44</v>
      </c>
      <c r="I68" s="56" t="s">
        <v>23</v>
      </c>
      <c r="J68" s="57">
        <v>42520</v>
      </c>
      <c r="K68" s="58">
        <f t="shared" ca="1" si="0"/>
        <v>10</v>
      </c>
      <c r="L68" s="35" t="s">
        <v>45</v>
      </c>
      <c r="M68" s="35" t="s">
        <v>25</v>
      </c>
      <c r="N68" s="35" t="s">
        <v>26</v>
      </c>
      <c r="O68" s="37" t="s">
        <v>27</v>
      </c>
      <c r="P68" s="35" t="s">
        <v>61</v>
      </c>
      <c r="Q68" s="35" t="s">
        <v>50</v>
      </c>
      <c r="R68" s="32"/>
      <c r="S68" s="19"/>
      <c r="T68" s="19" t="s">
        <v>350</v>
      </c>
    </row>
    <row r="69" spans="1:20" s="2" customFormat="1" ht="12" customHeight="1">
      <c r="A69" s="18">
        <v>62</v>
      </c>
      <c r="B69" s="25" t="s">
        <v>144</v>
      </c>
      <c r="C69" s="41" t="s">
        <v>432</v>
      </c>
      <c r="D69" s="41" t="s">
        <v>433</v>
      </c>
      <c r="E69" s="38" t="s">
        <v>145</v>
      </c>
      <c r="F69" s="38" t="s">
        <v>145</v>
      </c>
      <c r="G69" s="24" t="s">
        <v>21</v>
      </c>
      <c r="H69" s="25" t="s">
        <v>22</v>
      </c>
      <c r="I69" s="50" t="s">
        <v>23</v>
      </c>
      <c r="J69" s="51">
        <v>28683</v>
      </c>
      <c r="K69" s="52">
        <f t="shared" ca="1" si="0"/>
        <v>48</v>
      </c>
      <c r="L69" s="25" t="s">
        <v>24</v>
      </c>
      <c r="M69" s="25" t="s">
        <v>25</v>
      </c>
      <c r="N69" s="25" t="s">
        <v>26</v>
      </c>
      <c r="O69" s="24" t="s">
        <v>27</v>
      </c>
      <c r="P69" s="25" t="s">
        <v>34</v>
      </c>
      <c r="Q69" s="25" t="s">
        <v>35</v>
      </c>
      <c r="R69" s="20" t="s">
        <v>36</v>
      </c>
      <c r="S69" s="19"/>
      <c r="T69" s="19" t="s">
        <v>353</v>
      </c>
    </row>
    <row r="70" spans="1:20" s="2" customFormat="1" ht="12" customHeight="1">
      <c r="A70" s="13">
        <v>63</v>
      </c>
      <c r="B70" s="29"/>
      <c r="C70" s="42" t="s">
        <v>432</v>
      </c>
      <c r="D70" s="42" t="s">
        <v>434</v>
      </c>
      <c r="E70" s="29"/>
      <c r="F70" s="29" t="s">
        <v>146</v>
      </c>
      <c r="G70" s="31" t="s">
        <v>39</v>
      </c>
      <c r="H70" s="29" t="s">
        <v>40</v>
      </c>
      <c r="I70" s="53" t="s">
        <v>23</v>
      </c>
      <c r="J70" s="54">
        <v>28820</v>
      </c>
      <c r="K70" s="55">
        <f t="shared" ca="1" si="0"/>
        <v>47</v>
      </c>
      <c r="L70" s="29" t="s">
        <v>24</v>
      </c>
      <c r="M70" s="29" t="s">
        <v>25</v>
      </c>
      <c r="N70" s="29" t="s">
        <v>26</v>
      </c>
      <c r="O70" s="31" t="s">
        <v>27</v>
      </c>
      <c r="P70" s="29" t="s">
        <v>34</v>
      </c>
      <c r="Q70" s="29" t="s">
        <v>35</v>
      </c>
      <c r="R70" s="26"/>
      <c r="S70" s="19"/>
      <c r="T70" s="19" t="s">
        <v>353</v>
      </c>
    </row>
    <row r="71" spans="1:20" s="2" customFormat="1" ht="12" customHeight="1">
      <c r="A71" s="13">
        <v>64</v>
      </c>
      <c r="B71" s="29"/>
      <c r="C71" s="42" t="s">
        <v>432</v>
      </c>
      <c r="D71" s="42" t="s">
        <v>435</v>
      </c>
      <c r="E71" s="29"/>
      <c r="F71" s="29" t="s">
        <v>147</v>
      </c>
      <c r="G71" s="31" t="s">
        <v>39</v>
      </c>
      <c r="H71" s="29" t="s">
        <v>44</v>
      </c>
      <c r="I71" s="53" t="s">
        <v>23</v>
      </c>
      <c r="J71" s="54">
        <v>38184</v>
      </c>
      <c r="K71" s="55">
        <f t="shared" ca="1" si="0"/>
        <v>22</v>
      </c>
      <c r="L71" s="29" t="s">
        <v>45</v>
      </c>
      <c r="M71" s="29" t="s">
        <v>25</v>
      </c>
      <c r="N71" s="29" t="s">
        <v>26</v>
      </c>
      <c r="O71" s="31" t="s">
        <v>27</v>
      </c>
      <c r="P71" s="29" t="s">
        <v>91</v>
      </c>
      <c r="Q71" s="29" t="s">
        <v>50</v>
      </c>
      <c r="R71" s="26"/>
      <c r="S71" s="19"/>
      <c r="T71" s="19" t="s">
        <v>353</v>
      </c>
    </row>
    <row r="72" spans="1:20" s="2" customFormat="1" ht="12" customHeight="1">
      <c r="A72" s="18">
        <v>65</v>
      </c>
      <c r="B72" s="35"/>
      <c r="C72" s="43" t="s">
        <v>432</v>
      </c>
      <c r="D72" s="43" t="s">
        <v>436</v>
      </c>
      <c r="E72" s="35"/>
      <c r="F72" s="35" t="s">
        <v>148</v>
      </c>
      <c r="G72" s="37" t="s">
        <v>21</v>
      </c>
      <c r="H72" s="35" t="s">
        <v>44</v>
      </c>
      <c r="I72" s="56" t="s">
        <v>23</v>
      </c>
      <c r="J72" s="57">
        <v>41025</v>
      </c>
      <c r="K72" s="58">
        <f t="shared" ca="1" si="0"/>
        <v>14</v>
      </c>
      <c r="L72" s="35" t="s">
        <v>45</v>
      </c>
      <c r="M72" s="35" t="s">
        <v>25</v>
      </c>
      <c r="N72" s="35" t="s">
        <v>26</v>
      </c>
      <c r="O72" s="37" t="s">
        <v>27</v>
      </c>
      <c r="P72" s="35" t="s">
        <v>61</v>
      </c>
      <c r="Q72" s="35" t="s">
        <v>50</v>
      </c>
      <c r="R72" s="32"/>
      <c r="S72" s="19"/>
      <c r="T72" s="19" t="s">
        <v>353</v>
      </c>
    </row>
    <row r="73" spans="1:20" s="2" customFormat="1" ht="12" customHeight="1">
      <c r="A73" s="13">
        <v>66</v>
      </c>
      <c r="B73" s="25" t="s">
        <v>149</v>
      </c>
      <c r="C73" s="41" t="s">
        <v>437</v>
      </c>
      <c r="D73" s="41" t="s">
        <v>438</v>
      </c>
      <c r="E73" s="38" t="s">
        <v>150</v>
      </c>
      <c r="F73" s="38" t="s">
        <v>150</v>
      </c>
      <c r="G73" s="24" t="s">
        <v>21</v>
      </c>
      <c r="H73" s="25" t="s">
        <v>22</v>
      </c>
      <c r="I73" s="50" t="s">
        <v>23</v>
      </c>
      <c r="J73" s="51">
        <v>28700</v>
      </c>
      <c r="K73" s="52">
        <f t="shared" ca="1" si="0"/>
        <v>48</v>
      </c>
      <c r="L73" s="25" t="s">
        <v>24</v>
      </c>
      <c r="M73" s="25" t="s">
        <v>25</v>
      </c>
      <c r="N73" s="25" t="s">
        <v>26</v>
      </c>
      <c r="O73" s="24" t="s">
        <v>27</v>
      </c>
      <c r="P73" s="25" t="s">
        <v>34</v>
      </c>
      <c r="Q73" s="25" t="s">
        <v>35</v>
      </c>
      <c r="R73" s="20" t="s">
        <v>36</v>
      </c>
      <c r="S73" s="19"/>
      <c r="T73" s="19" t="s">
        <v>353</v>
      </c>
    </row>
    <row r="74" spans="1:20" s="2" customFormat="1" ht="12" customHeight="1">
      <c r="A74" s="13">
        <v>67</v>
      </c>
      <c r="B74" s="29"/>
      <c r="C74" s="42" t="s">
        <v>437</v>
      </c>
      <c r="D74" s="42" t="s">
        <v>439</v>
      </c>
      <c r="E74" s="29"/>
      <c r="F74" s="29" t="s">
        <v>151</v>
      </c>
      <c r="G74" s="31" t="s">
        <v>39</v>
      </c>
      <c r="H74" s="29" t="s">
        <v>40</v>
      </c>
      <c r="I74" s="53" t="s">
        <v>101</v>
      </c>
      <c r="J74" s="54">
        <v>30002</v>
      </c>
      <c r="K74" s="55">
        <f ca="1">INT((TODAY()-J74)/365)</f>
        <v>44</v>
      </c>
      <c r="L74" s="29" t="s">
        <v>24</v>
      </c>
      <c r="M74" s="29" t="s">
        <v>25</v>
      </c>
      <c r="N74" s="29" t="s">
        <v>26</v>
      </c>
      <c r="O74" s="31" t="s">
        <v>27</v>
      </c>
      <c r="P74" s="29" t="s">
        <v>34</v>
      </c>
      <c r="Q74" s="29" t="s">
        <v>42</v>
      </c>
      <c r="R74" s="26"/>
      <c r="S74" s="19"/>
      <c r="T74" s="19" t="s">
        <v>353</v>
      </c>
    </row>
    <row r="75" spans="1:20" s="2" customFormat="1" ht="12" customHeight="1">
      <c r="A75" s="18">
        <v>68</v>
      </c>
      <c r="B75" s="29"/>
      <c r="C75" s="42" t="s">
        <v>437</v>
      </c>
      <c r="D75" s="42" t="s">
        <v>440</v>
      </c>
      <c r="E75" s="29"/>
      <c r="F75" s="29" t="s">
        <v>152</v>
      </c>
      <c r="G75" s="31" t="s">
        <v>39</v>
      </c>
      <c r="H75" s="29" t="s">
        <v>44</v>
      </c>
      <c r="I75" s="53" t="s">
        <v>101</v>
      </c>
      <c r="J75" s="54">
        <v>38483</v>
      </c>
      <c r="K75" s="55">
        <f ca="1">INT((TODAY()-J75)/365)</f>
        <v>21</v>
      </c>
      <c r="L75" s="29" t="s">
        <v>45</v>
      </c>
      <c r="M75" s="29" t="s">
        <v>25</v>
      </c>
      <c r="N75" s="29" t="s">
        <v>26</v>
      </c>
      <c r="O75" s="31" t="s">
        <v>27</v>
      </c>
      <c r="P75" s="29" t="s">
        <v>49</v>
      </c>
      <c r="Q75" s="29" t="s">
        <v>50</v>
      </c>
      <c r="R75" s="26"/>
      <c r="S75" s="19"/>
      <c r="T75" s="19" t="s">
        <v>353</v>
      </c>
    </row>
    <row r="76" spans="1:20" s="2" customFormat="1" ht="12" customHeight="1">
      <c r="A76" s="13">
        <v>69</v>
      </c>
      <c r="B76" s="35"/>
      <c r="C76" s="43" t="s">
        <v>437</v>
      </c>
      <c r="D76" s="43" t="s">
        <v>441</v>
      </c>
      <c r="E76" s="35"/>
      <c r="F76" s="35" t="s">
        <v>153</v>
      </c>
      <c r="G76" s="37" t="s">
        <v>21</v>
      </c>
      <c r="H76" s="35" t="s">
        <v>44</v>
      </c>
      <c r="I76" s="56" t="s">
        <v>101</v>
      </c>
      <c r="J76" s="57">
        <v>40411</v>
      </c>
      <c r="K76" s="58">
        <f ca="1">INT((TODAY()-J76)/365)</f>
        <v>16</v>
      </c>
      <c r="L76" s="35" t="s">
        <v>45</v>
      </c>
      <c r="M76" s="35" t="s">
        <v>25</v>
      </c>
      <c r="N76" s="35" t="s">
        <v>26</v>
      </c>
      <c r="O76" s="37" t="s">
        <v>27</v>
      </c>
      <c r="P76" s="35" t="s">
        <v>61</v>
      </c>
      <c r="Q76" s="35" t="s">
        <v>50</v>
      </c>
      <c r="R76" s="32"/>
      <c r="S76" s="19"/>
      <c r="T76" s="19" t="s">
        <v>353</v>
      </c>
    </row>
    <row r="77" spans="1:20" s="2" customFormat="1" ht="12" customHeight="1">
      <c r="A77" s="13">
        <v>70</v>
      </c>
      <c r="B77" s="64" t="s">
        <v>154</v>
      </c>
      <c r="C77" s="65"/>
      <c r="D77" s="65"/>
      <c r="E77" s="66" t="s">
        <v>58</v>
      </c>
      <c r="F77" s="66" t="s">
        <v>172</v>
      </c>
      <c r="G77" s="66"/>
      <c r="H77" s="66" t="s">
        <v>172</v>
      </c>
      <c r="I77" s="66" t="s">
        <v>172</v>
      </c>
      <c r="J77" s="66" t="s">
        <v>172</v>
      </c>
      <c r="K77" s="66"/>
      <c r="L77" s="66" t="s">
        <v>172</v>
      </c>
      <c r="M77" s="66" t="s">
        <v>172</v>
      </c>
      <c r="N77" s="66" t="s">
        <v>172</v>
      </c>
      <c r="O77" s="66" t="s">
        <v>172</v>
      </c>
      <c r="P77" s="66" t="s">
        <v>172</v>
      </c>
      <c r="Q77" s="66" t="s">
        <v>172</v>
      </c>
      <c r="R77" s="66" t="s">
        <v>58</v>
      </c>
      <c r="S77" s="19"/>
      <c r="T77" s="66" t="s">
        <v>172</v>
      </c>
    </row>
    <row r="78" spans="1:20" s="2" customFormat="1" ht="12" customHeight="1">
      <c r="A78" s="18">
        <v>71</v>
      </c>
      <c r="B78" s="20" t="s">
        <v>156</v>
      </c>
      <c r="C78" s="41" t="s">
        <v>442</v>
      </c>
      <c r="D78" s="41" t="s">
        <v>443</v>
      </c>
      <c r="E78" s="38" t="s">
        <v>157</v>
      </c>
      <c r="F78" s="38" t="s">
        <v>157</v>
      </c>
      <c r="G78" s="24" t="s">
        <v>21</v>
      </c>
      <c r="H78" s="25" t="s">
        <v>22</v>
      </c>
      <c r="I78" s="25" t="s">
        <v>158</v>
      </c>
      <c r="J78" s="51">
        <v>21745</v>
      </c>
      <c r="K78" s="52">
        <f ca="1">INT((TODAY()-J78)/365)</f>
        <v>67</v>
      </c>
      <c r="L78" s="25" t="s">
        <v>24</v>
      </c>
      <c r="M78" s="25" t="s">
        <v>25</v>
      </c>
      <c r="N78" s="25" t="s">
        <v>26</v>
      </c>
      <c r="O78" s="24" t="s">
        <v>112</v>
      </c>
      <c r="P78" s="25" t="s">
        <v>34</v>
      </c>
      <c r="Q78" s="25" t="s">
        <v>35</v>
      </c>
      <c r="R78" s="20" t="s">
        <v>36</v>
      </c>
      <c r="S78" s="19"/>
      <c r="T78" s="19" t="s">
        <v>353</v>
      </c>
    </row>
    <row r="79" spans="1:20" s="2" customFormat="1" ht="12" customHeight="1">
      <c r="A79" s="13">
        <v>72</v>
      </c>
      <c r="B79" s="26"/>
      <c r="C79" s="42" t="s">
        <v>442</v>
      </c>
      <c r="D79" s="42" t="s">
        <v>444</v>
      </c>
      <c r="E79" s="29"/>
      <c r="F79" s="29" t="s">
        <v>159</v>
      </c>
      <c r="G79" s="31" t="s">
        <v>39</v>
      </c>
      <c r="H79" s="29" t="s">
        <v>40</v>
      </c>
      <c r="I79" s="29" t="s">
        <v>160</v>
      </c>
      <c r="J79" s="54">
        <v>24583</v>
      </c>
      <c r="K79" s="55">
        <f ca="1">INT((TODAY()-J79)/365)</f>
        <v>59</v>
      </c>
      <c r="L79" s="29" t="s">
        <v>24</v>
      </c>
      <c r="M79" s="29" t="s">
        <v>25</v>
      </c>
      <c r="N79" s="29" t="s">
        <v>26</v>
      </c>
      <c r="O79" s="31" t="s">
        <v>112</v>
      </c>
      <c r="P79" s="29" t="s">
        <v>34</v>
      </c>
      <c r="Q79" s="29" t="s">
        <v>42</v>
      </c>
      <c r="R79" s="26"/>
      <c r="S79" s="19"/>
      <c r="T79" s="19" t="s">
        <v>353</v>
      </c>
    </row>
    <row r="80" spans="1:20" s="2" customFormat="1" ht="12" customHeight="1">
      <c r="A80" s="13">
        <v>73</v>
      </c>
      <c r="B80" s="26"/>
      <c r="C80" s="42" t="s">
        <v>442</v>
      </c>
      <c r="D80" s="42" t="s">
        <v>445</v>
      </c>
      <c r="E80" s="29"/>
      <c r="F80" s="29" t="s">
        <v>161</v>
      </c>
      <c r="G80" s="31" t="s">
        <v>39</v>
      </c>
      <c r="H80" s="29" t="s">
        <v>44</v>
      </c>
      <c r="I80" s="29" t="s">
        <v>41</v>
      </c>
      <c r="J80" s="54">
        <v>33771</v>
      </c>
      <c r="K80" s="55">
        <f ca="1">INT((TODAY()-J80)/365)</f>
        <v>34</v>
      </c>
      <c r="L80" s="29" t="s">
        <v>45</v>
      </c>
      <c r="M80" s="29" t="s">
        <v>25</v>
      </c>
      <c r="N80" s="29" t="s">
        <v>26</v>
      </c>
      <c r="O80" s="31" t="s">
        <v>27</v>
      </c>
      <c r="P80" s="29" t="s">
        <v>162</v>
      </c>
      <c r="Q80" s="29" t="s">
        <v>35</v>
      </c>
      <c r="R80" s="26"/>
      <c r="S80" s="19"/>
      <c r="T80" s="19" t="s">
        <v>353</v>
      </c>
    </row>
    <row r="81" spans="1:20" s="2" customFormat="1" ht="12" customHeight="1">
      <c r="A81" s="18">
        <v>74</v>
      </c>
      <c r="B81" s="32"/>
      <c r="C81" s="43" t="s">
        <v>442</v>
      </c>
      <c r="D81" s="43" t="s">
        <v>446</v>
      </c>
      <c r="E81" s="35"/>
      <c r="F81" s="35" t="s">
        <v>163</v>
      </c>
      <c r="G81" s="37" t="s">
        <v>39</v>
      </c>
      <c r="H81" s="35" t="s">
        <v>44</v>
      </c>
      <c r="I81" s="35" t="s">
        <v>48</v>
      </c>
      <c r="J81" s="57">
        <v>35439</v>
      </c>
      <c r="K81" s="58">
        <f ca="1">INT((TODAY()-J81)/365)</f>
        <v>29</v>
      </c>
      <c r="L81" s="35" t="s">
        <v>24</v>
      </c>
      <c r="M81" s="35" t="s">
        <v>25</v>
      </c>
      <c r="N81" s="35" t="s">
        <v>26</v>
      </c>
      <c r="O81" s="37" t="s">
        <v>27</v>
      </c>
      <c r="P81" s="35" t="s">
        <v>34</v>
      </c>
      <c r="Q81" s="35" t="s">
        <v>35</v>
      </c>
      <c r="R81" s="32"/>
      <c r="S81" s="19"/>
      <c r="T81" s="19" t="s">
        <v>353</v>
      </c>
    </row>
    <row r="82" spans="1:20" s="2" customFormat="1" ht="12" customHeight="1">
      <c r="A82" s="13">
        <v>75</v>
      </c>
      <c r="B82" s="25" t="s">
        <v>164</v>
      </c>
      <c r="C82" s="21" t="s">
        <v>447</v>
      </c>
      <c r="D82" s="22" t="s">
        <v>448</v>
      </c>
      <c r="E82" s="38" t="s">
        <v>165</v>
      </c>
      <c r="F82" s="38" t="s">
        <v>165</v>
      </c>
      <c r="G82" s="24" t="s">
        <v>21</v>
      </c>
      <c r="H82" s="25" t="s">
        <v>22</v>
      </c>
      <c r="I82" s="25" t="s">
        <v>23</v>
      </c>
      <c r="J82" s="51">
        <v>27483</v>
      </c>
      <c r="K82" s="52">
        <f t="shared" ref="K82:K237" ca="1" si="1">INT((TODAY()-J82)/365)</f>
        <v>51</v>
      </c>
      <c r="L82" s="25" t="s">
        <v>24</v>
      </c>
      <c r="M82" s="25" t="s">
        <v>25</v>
      </c>
      <c r="N82" s="25" t="s">
        <v>26</v>
      </c>
      <c r="O82" s="24" t="s">
        <v>27</v>
      </c>
      <c r="P82" s="25" t="s">
        <v>34</v>
      </c>
      <c r="Q82" s="25" t="s">
        <v>29</v>
      </c>
      <c r="R82" s="20" t="s">
        <v>36</v>
      </c>
      <c r="S82" s="19"/>
      <c r="T82" s="19" t="s">
        <v>353</v>
      </c>
    </row>
    <row r="83" spans="1:20" s="2" customFormat="1" ht="12" customHeight="1">
      <c r="A83" s="13">
        <v>76</v>
      </c>
      <c r="B83" s="29"/>
      <c r="C83" s="27" t="s">
        <v>447</v>
      </c>
      <c r="D83" s="28" t="s">
        <v>449</v>
      </c>
      <c r="E83" s="29"/>
      <c r="F83" s="29" t="s">
        <v>166</v>
      </c>
      <c r="G83" s="31" t="s">
        <v>39</v>
      </c>
      <c r="H83" s="29" t="s">
        <v>40</v>
      </c>
      <c r="I83" s="29" t="s">
        <v>167</v>
      </c>
      <c r="J83" s="54">
        <v>29792</v>
      </c>
      <c r="K83" s="55">
        <f t="shared" ca="1" si="1"/>
        <v>45</v>
      </c>
      <c r="L83" s="29" t="s">
        <v>24</v>
      </c>
      <c r="M83" s="29" t="s">
        <v>25</v>
      </c>
      <c r="N83" s="29" t="s">
        <v>26</v>
      </c>
      <c r="O83" s="31" t="s">
        <v>27</v>
      </c>
      <c r="P83" s="29" t="s">
        <v>34</v>
      </c>
      <c r="Q83" s="29" t="s">
        <v>42</v>
      </c>
      <c r="R83" s="26"/>
      <c r="S83" s="19"/>
      <c r="T83" s="19" t="s">
        <v>353</v>
      </c>
    </row>
    <row r="84" spans="1:20" s="2" customFormat="1" ht="12" customHeight="1">
      <c r="A84" s="18">
        <v>77</v>
      </c>
      <c r="B84" s="29"/>
      <c r="C84" s="27" t="s">
        <v>447</v>
      </c>
      <c r="D84" s="28" t="s">
        <v>450</v>
      </c>
      <c r="E84" s="29"/>
      <c r="F84" s="29" t="s">
        <v>168</v>
      </c>
      <c r="G84" s="31" t="s">
        <v>39</v>
      </c>
      <c r="H84" s="29" t="s">
        <v>44</v>
      </c>
      <c r="I84" s="29" t="s">
        <v>23</v>
      </c>
      <c r="J84" s="54">
        <v>37882</v>
      </c>
      <c r="K84" s="55">
        <f t="shared" ca="1" si="1"/>
        <v>23</v>
      </c>
      <c r="L84" s="29" t="s">
        <v>45</v>
      </c>
      <c r="M84" s="29" t="s">
        <v>25</v>
      </c>
      <c r="N84" s="29" t="s">
        <v>26</v>
      </c>
      <c r="O84" s="31" t="s">
        <v>27</v>
      </c>
      <c r="P84" s="29" t="s">
        <v>34</v>
      </c>
      <c r="Q84" s="29" t="s">
        <v>50</v>
      </c>
      <c r="R84" s="26"/>
      <c r="S84" s="19"/>
      <c r="T84" s="19" t="s">
        <v>353</v>
      </c>
    </row>
    <row r="85" spans="1:20" s="2" customFormat="1" ht="12" customHeight="1">
      <c r="A85" s="13">
        <v>78</v>
      </c>
      <c r="B85" s="35"/>
      <c r="C85" s="33" t="s">
        <v>447</v>
      </c>
      <c r="D85" s="34" t="s">
        <v>451</v>
      </c>
      <c r="E85" s="35"/>
      <c r="F85" s="35" t="s">
        <v>169</v>
      </c>
      <c r="G85" s="37" t="s">
        <v>39</v>
      </c>
      <c r="H85" s="35" t="s">
        <v>44</v>
      </c>
      <c r="I85" s="35" t="s">
        <v>23</v>
      </c>
      <c r="J85" s="57">
        <v>40915</v>
      </c>
      <c r="K85" s="58">
        <f t="shared" ca="1" si="1"/>
        <v>14</v>
      </c>
      <c r="L85" s="35" t="s">
        <v>45</v>
      </c>
      <c r="M85" s="35" t="s">
        <v>25</v>
      </c>
      <c r="N85" s="35" t="s">
        <v>26</v>
      </c>
      <c r="O85" s="37" t="s">
        <v>27</v>
      </c>
      <c r="P85" s="35" t="s">
        <v>61</v>
      </c>
      <c r="Q85" s="35" t="s">
        <v>50</v>
      </c>
      <c r="R85" s="32"/>
      <c r="S85" s="19"/>
      <c r="T85" s="19" t="s">
        <v>353</v>
      </c>
    </row>
    <row r="86" spans="1:20" s="2" customFormat="1" ht="12" customHeight="1">
      <c r="A86" s="13">
        <v>79</v>
      </c>
      <c r="B86" s="20" t="s">
        <v>170</v>
      </c>
      <c r="C86" s="21" t="s">
        <v>172</v>
      </c>
      <c r="D86" s="22" t="s">
        <v>452</v>
      </c>
      <c r="E86" s="38" t="s">
        <v>453</v>
      </c>
      <c r="F86" s="38" t="s">
        <v>453</v>
      </c>
      <c r="G86" s="24" t="s">
        <v>21</v>
      </c>
      <c r="H86" s="25" t="s">
        <v>172</v>
      </c>
      <c r="I86" s="25" t="s">
        <v>173</v>
      </c>
      <c r="J86" s="51">
        <v>23946</v>
      </c>
      <c r="K86" s="52">
        <f t="shared" ca="1" si="1"/>
        <v>61</v>
      </c>
      <c r="L86" s="25" t="s">
        <v>24</v>
      </c>
      <c r="M86" s="25" t="s">
        <v>25</v>
      </c>
      <c r="N86" s="25" t="s">
        <v>26</v>
      </c>
      <c r="O86" s="24" t="s">
        <v>112</v>
      </c>
      <c r="P86" s="25" t="s">
        <v>34</v>
      </c>
      <c r="Q86" s="25" t="s">
        <v>35</v>
      </c>
      <c r="R86" s="20" t="s">
        <v>30</v>
      </c>
      <c r="S86" s="19"/>
      <c r="T86" s="19" t="s">
        <v>350</v>
      </c>
    </row>
    <row r="87" spans="1:20" s="2" customFormat="1" ht="12" customHeight="1">
      <c r="A87" s="18">
        <v>80</v>
      </c>
      <c r="B87" s="26"/>
      <c r="C87" s="21" t="s">
        <v>172</v>
      </c>
      <c r="D87" s="28" t="s">
        <v>454</v>
      </c>
      <c r="E87" s="29"/>
      <c r="F87" s="29" t="s">
        <v>455</v>
      </c>
      <c r="G87" s="31" t="s">
        <v>21</v>
      </c>
      <c r="H87" s="29" t="s">
        <v>172</v>
      </c>
      <c r="I87" s="29" t="s">
        <v>174</v>
      </c>
      <c r="J87" s="54">
        <v>35494</v>
      </c>
      <c r="K87" s="55">
        <f t="shared" ca="1" si="1"/>
        <v>29</v>
      </c>
      <c r="L87" s="29" t="s">
        <v>24</v>
      </c>
      <c r="M87" s="29" t="s">
        <v>25</v>
      </c>
      <c r="N87" s="29" t="s">
        <v>26</v>
      </c>
      <c r="O87" s="31" t="s">
        <v>172</v>
      </c>
      <c r="P87" s="29" t="s">
        <v>34</v>
      </c>
      <c r="Q87" s="29" t="s">
        <v>35</v>
      </c>
      <c r="R87" s="26"/>
      <c r="S87" s="19"/>
      <c r="T87" s="19" t="s">
        <v>350</v>
      </c>
    </row>
    <row r="88" spans="1:20" s="2" customFormat="1" ht="12" customHeight="1">
      <c r="A88" s="13">
        <v>81</v>
      </c>
      <c r="B88" s="32"/>
      <c r="C88" s="21" t="s">
        <v>172</v>
      </c>
      <c r="D88" s="34" t="s">
        <v>456</v>
      </c>
      <c r="E88" s="35"/>
      <c r="F88" s="35" t="s">
        <v>457</v>
      </c>
      <c r="G88" s="37" t="s">
        <v>21</v>
      </c>
      <c r="H88" s="35" t="s">
        <v>172</v>
      </c>
      <c r="I88" s="35" t="s">
        <v>175</v>
      </c>
      <c r="J88" s="57">
        <v>37182</v>
      </c>
      <c r="K88" s="58">
        <f ca="1">INT((TODAY()-J88)/365)</f>
        <v>24</v>
      </c>
      <c r="L88" s="35" t="s">
        <v>45</v>
      </c>
      <c r="M88" s="35" t="s">
        <v>25</v>
      </c>
      <c r="N88" s="35" t="s">
        <v>26</v>
      </c>
      <c r="O88" s="37" t="s">
        <v>172</v>
      </c>
      <c r="P88" s="35" t="s">
        <v>34</v>
      </c>
      <c r="Q88" s="35" t="s">
        <v>35</v>
      </c>
      <c r="R88" s="32"/>
      <c r="S88" s="19"/>
      <c r="T88" s="19" t="s">
        <v>350</v>
      </c>
    </row>
    <row r="89" spans="1:20" s="2" customFormat="1" ht="12" customHeight="1">
      <c r="A89" s="13">
        <v>82</v>
      </c>
      <c r="B89" s="20" t="s">
        <v>171</v>
      </c>
      <c r="C89" s="21" t="s">
        <v>458</v>
      </c>
      <c r="D89" s="22" t="s">
        <v>459</v>
      </c>
      <c r="E89" s="38" t="s">
        <v>460</v>
      </c>
      <c r="F89" s="38" t="s">
        <v>460</v>
      </c>
      <c r="G89" s="24" t="s">
        <v>21</v>
      </c>
      <c r="H89" s="25" t="s">
        <v>22</v>
      </c>
      <c r="I89" s="25" t="s">
        <v>174</v>
      </c>
      <c r="J89" s="51">
        <v>35366</v>
      </c>
      <c r="K89" s="52">
        <f t="shared" ca="1" si="1"/>
        <v>29</v>
      </c>
      <c r="L89" s="25" t="s">
        <v>24</v>
      </c>
      <c r="M89" s="25" t="s">
        <v>25</v>
      </c>
      <c r="N89" s="25" t="s">
        <v>26</v>
      </c>
      <c r="O89" s="24" t="s">
        <v>112</v>
      </c>
      <c r="P89" s="25" t="s">
        <v>34</v>
      </c>
      <c r="Q89" s="25" t="s">
        <v>99</v>
      </c>
      <c r="R89" s="20" t="s">
        <v>30</v>
      </c>
      <c r="S89" s="19"/>
      <c r="T89" s="19" t="s">
        <v>353</v>
      </c>
    </row>
    <row r="90" spans="1:20" s="2" customFormat="1" ht="12" customHeight="1">
      <c r="A90" s="18">
        <v>83</v>
      </c>
      <c r="B90" s="26"/>
      <c r="C90" s="27" t="s">
        <v>458</v>
      </c>
      <c r="D90" s="28" t="s">
        <v>461</v>
      </c>
      <c r="E90" s="29"/>
      <c r="F90" s="29" t="s">
        <v>462</v>
      </c>
      <c r="G90" s="31" t="s">
        <v>39</v>
      </c>
      <c r="H90" s="29" t="s">
        <v>40</v>
      </c>
      <c r="I90" s="29" t="s">
        <v>23</v>
      </c>
      <c r="J90" s="54">
        <v>36130</v>
      </c>
      <c r="K90" s="55">
        <f t="shared" ca="1" si="1"/>
        <v>27</v>
      </c>
      <c r="L90" s="29" t="s">
        <v>24</v>
      </c>
      <c r="M90" s="29" t="s">
        <v>25</v>
      </c>
      <c r="N90" s="29" t="s">
        <v>26</v>
      </c>
      <c r="O90" s="31" t="s">
        <v>112</v>
      </c>
      <c r="P90" s="29" t="s">
        <v>34</v>
      </c>
      <c r="Q90" s="29" t="s">
        <v>42</v>
      </c>
      <c r="R90" s="26"/>
      <c r="S90" s="19"/>
      <c r="T90" s="19" t="s">
        <v>353</v>
      </c>
    </row>
    <row r="91" spans="1:20" s="2" customFormat="1" ht="12" customHeight="1">
      <c r="A91" s="13">
        <v>84</v>
      </c>
      <c r="B91" s="32"/>
      <c r="C91" s="33" t="s">
        <v>458</v>
      </c>
      <c r="D91" s="34" t="s">
        <v>463</v>
      </c>
      <c r="E91" s="35"/>
      <c r="F91" s="35" t="s">
        <v>464</v>
      </c>
      <c r="G91" s="37" t="s">
        <v>21</v>
      </c>
      <c r="H91" s="35" t="s">
        <v>44</v>
      </c>
      <c r="I91" s="35" t="s">
        <v>48</v>
      </c>
      <c r="J91" s="57">
        <v>44505</v>
      </c>
      <c r="K91" s="58">
        <f t="shared" ca="1" si="1"/>
        <v>4</v>
      </c>
      <c r="L91" s="35" t="s">
        <v>45</v>
      </c>
      <c r="M91" s="35" t="s">
        <v>25</v>
      </c>
      <c r="N91" s="35" t="s">
        <v>26</v>
      </c>
      <c r="O91" s="37" t="s">
        <v>27</v>
      </c>
      <c r="P91" s="35" t="s">
        <v>62</v>
      </c>
      <c r="Q91" s="35" t="s">
        <v>63</v>
      </c>
      <c r="R91" s="32"/>
      <c r="S91" s="19"/>
      <c r="T91" s="19" t="s">
        <v>353</v>
      </c>
    </row>
    <row r="92" spans="1:20" s="2" customFormat="1" ht="12" customHeight="1">
      <c r="A92" s="13">
        <v>85</v>
      </c>
      <c r="B92" s="20" t="s">
        <v>176</v>
      </c>
      <c r="C92" s="41" t="s">
        <v>465</v>
      </c>
      <c r="D92" s="41" t="s">
        <v>466</v>
      </c>
      <c r="E92" s="38" t="s">
        <v>177</v>
      </c>
      <c r="F92" s="38" t="s">
        <v>177</v>
      </c>
      <c r="G92" s="24" t="s">
        <v>21</v>
      </c>
      <c r="H92" s="25" t="s">
        <v>22</v>
      </c>
      <c r="I92" s="25" t="s">
        <v>101</v>
      </c>
      <c r="J92" s="51">
        <v>27486</v>
      </c>
      <c r="K92" s="52">
        <f t="shared" ca="1" si="1"/>
        <v>51</v>
      </c>
      <c r="L92" s="25" t="s">
        <v>24</v>
      </c>
      <c r="M92" s="25" t="s">
        <v>25</v>
      </c>
      <c r="N92" s="25" t="s">
        <v>26</v>
      </c>
      <c r="O92" s="24" t="s">
        <v>27</v>
      </c>
      <c r="P92" s="25" t="s">
        <v>34</v>
      </c>
      <c r="Q92" s="25" t="s">
        <v>35</v>
      </c>
      <c r="R92" s="20" t="s">
        <v>36</v>
      </c>
      <c r="S92" s="19"/>
      <c r="T92" s="19" t="s">
        <v>353</v>
      </c>
    </row>
    <row r="93" spans="1:20" s="2" customFormat="1" ht="12" customHeight="1">
      <c r="A93" s="18">
        <v>86</v>
      </c>
      <c r="B93" s="26"/>
      <c r="C93" s="42" t="s">
        <v>465</v>
      </c>
      <c r="D93" s="42" t="s">
        <v>467</v>
      </c>
      <c r="E93" s="29"/>
      <c r="F93" s="29" t="s">
        <v>178</v>
      </c>
      <c r="G93" s="31" t="s">
        <v>39</v>
      </c>
      <c r="H93" s="29" t="s">
        <v>40</v>
      </c>
      <c r="I93" s="29" t="s">
        <v>97</v>
      </c>
      <c r="J93" s="54">
        <v>29097</v>
      </c>
      <c r="K93" s="55">
        <f t="shared" ca="1" si="1"/>
        <v>47</v>
      </c>
      <c r="L93" s="29" t="s">
        <v>24</v>
      </c>
      <c r="M93" s="29" t="s">
        <v>25</v>
      </c>
      <c r="N93" s="29" t="s">
        <v>26</v>
      </c>
      <c r="O93" s="31" t="s">
        <v>27</v>
      </c>
      <c r="P93" s="29" t="s">
        <v>28</v>
      </c>
      <c r="Q93" s="29" t="s">
        <v>42</v>
      </c>
      <c r="R93" s="26"/>
      <c r="S93" s="19"/>
      <c r="T93" s="19" t="s">
        <v>353</v>
      </c>
    </row>
    <row r="94" spans="1:20" s="2" customFormat="1" ht="12" customHeight="1">
      <c r="A94" s="13">
        <v>87</v>
      </c>
      <c r="B94" s="26"/>
      <c r="C94" s="42" t="s">
        <v>465</v>
      </c>
      <c r="D94" s="42" t="s">
        <v>468</v>
      </c>
      <c r="E94" s="29"/>
      <c r="F94" s="29" t="s">
        <v>179</v>
      </c>
      <c r="G94" s="31" t="s">
        <v>21</v>
      </c>
      <c r="H94" s="29" t="s">
        <v>44</v>
      </c>
      <c r="I94" s="29" t="s">
        <v>23</v>
      </c>
      <c r="J94" s="54">
        <v>37381</v>
      </c>
      <c r="K94" s="55">
        <f t="shared" ca="1" si="1"/>
        <v>24</v>
      </c>
      <c r="L94" s="29" t="s">
        <v>45</v>
      </c>
      <c r="M94" s="29" t="s">
        <v>25</v>
      </c>
      <c r="N94" s="29" t="s">
        <v>26</v>
      </c>
      <c r="O94" s="31" t="s">
        <v>27</v>
      </c>
      <c r="P94" s="29" t="s">
        <v>34</v>
      </c>
      <c r="Q94" s="25" t="s">
        <v>35</v>
      </c>
      <c r="R94" s="26"/>
      <c r="S94" s="19"/>
      <c r="T94" s="19" t="s">
        <v>353</v>
      </c>
    </row>
    <row r="95" spans="1:20" s="2" customFormat="1" ht="12" customHeight="1">
      <c r="A95" s="13">
        <v>88</v>
      </c>
      <c r="B95" s="32"/>
      <c r="C95" s="43" t="s">
        <v>465</v>
      </c>
      <c r="D95" s="43" t="s">
        <v>469</v>
      </c>
      <c r="E95" s="35"/>
      <c r="F95" s="35" t="s">
        <v>180</v>
      </c>
      <c r="G95" s="37" t="s">
        <v>39</v>
      </c>
      <c r="H95" s="35" t="s">
        <v>44</v>
      </c>
      <c r="I95" s="35" t="s">
        <v>23</v>
      </c>
      <c r="J95" s="57">
        <v>40536</v>
      </c>
      <c r="K95" s="58">
        <f t="shared" ca="1" si="1"/>
        <v>15</v>
      </c>
      <c r="L95" s="35" t="s">
        <v>45</v>
      </c>
      <c r="M95" s="35" t="s">
        <v>25</v>
      </c>
      <c r="N95" s="35" t="s">
        <v>26</v>
      </c>
      <c r="O95" s="37" t="s">
        <v>27</v>
      </c>
      <c r="P95" s="35" t="s">
        <v>61</v>
      </c>
      <c r="Q95" s="35" t="s">
        <v>50</v>
      </c>
      <c r="R95" s="32"/>
      <c r="S95" s="19"/>
      <c r="T95" s="19" t="s">
        <v>353</v>
      </c>
    </row>
    <row r="96" spans="1:20" s="2" customFormat="1" ht="12" customHeight="1">
      <c r="A96" s="18">
        <v>89</v>
      </c>
      <c r="B96" s="19" t="s">
        <v>181</v>
      </c>
      <c r="C96" s="21" t="s">
        <v>470</v>
      </c>
      <c r="D96" s="22" t="s">
        <v>471</v>
      </c>
      <c r="E96" s="38" t="s">
        <v>182</v>
      </c>
      <c r="F96" s="38" t="s">
        <v>182</v>
      </c>
      <c r="G96" s="24" t="s">
        <v>21</v>
      </c>
      <c r="H96" s="25" t="s">
        <v>22</v>
      </c>
      <c r="I96" s="69" t="s">
        <v>101</v>
      </c>
      <c r="J96" s="51">
        <v>23232</v>
      </c>
      <c r="K96" s="52">
        <f t="shared" ca="1" si="1"/>
        <v>63</v>
      </c>
      <c r="L96" s="25" t="s">
        <v>24</v>
      </c>
      <c r="M96" s="25" t="s">
        <v>25</v>
      </c>
      <c r="N96" s="25" t="s">
        <v>26</v>
      </c>
      <c r="O96" s="24" t="s">
        <v>27</v>
      </c>
      <c r="P96" s="25" t="s">
        <v>34</v>
      </c>
      <c r="Q96" s="25" t="s">
        <v>99</v>
      </c>
      <c r="R96" s="20" t="s">
        <v>30</v>
      </c>
      <c r="S96" s="19"/>
      <c r="T96" s="19" t="s">
        <v>353</v>
      </c>
    </row>
    <row r="97" spans="1:20" s="2" customFormat="1" ht="12" customHeight="1">
      <c r="A97" s="13">
        <v>90</v>
      </c>
      <c r="B97" s="19"/>
      <c r="C97" s="27" t="s">
        <v>470</v>
      </c>
      <c r="D97" s="28" t="s">
        <v>472</v>
      </c>
      <c r="E97" s="29"/>
      <c r="F97" s="29" t="s">
        <v>183</v>
      </c>
      <c r="G97" s="31" t="s">
        <v>39</v>
      </c>
      <c r="H97" s="29" t="s">
        <v>40</v>
      </c>
      <c r="I97" s="70" t="s">
        <v>101</v>
      </c>
      <c r="J97" s="54">
        <v>27030</v>
      </c>
      <c r="K97" s="55">
        <f t="shared" ca="1" si="1"/>
        <v>52</v>
      </c>
      <c r="L97" s="29" t="s">
        <v>24</v>
      </c>
      <c r="M97" s="29" t="s">
        <v>25</v>
      </c>
      <c r="N97" s="29" t="s">
        <v>26</v>
      </c>
      <c r="O97" s="31" t="s">
        <v>27</v>
      </c>
      <c r="P97" s="29" t="s">
        <v>34</v>
      </c>
      <c r="Q97" s="29" t="s">
        <v>42</v>
      </c>
      <c r="R97" s="26"/>
      <c r="S97" s="19"/>
      <c r="T97" s="19" t="s">
        <v>353</v>
      </c>
    </row>
    <row r="98" spans="1:20" s="2" customFormat="1" ht="12" customHeight="1">
      <c r="A98" s="13">
        <v>91</v>
      </c>
      <c r="B98" s="19"/>
      <c r="C98" s="33" t="s">
        <v>470</v>
      </c>
      <c r="D98" s="34" t="s">
        <v>473</v>
      </c>
      <c r="E98" s="35"/>
      <c r="F98" s="35" t="s">
        <v>184</v>
      </c>
      <c r="G98" s="37" t="s">
        <v>39</v>
      </c>
      <c r="H98" s="35" t="s">
        <v>44</v>
      </c>
      <c r="I98" s="71" t="s">
        <v>101</v>
      </c>
      <c r="J98" s="57">
        <v>36383</v>
      </c>
      <c r="K98" s="58">
        <f t="shared" ca="1" si="1"/>
        <v>27</v>
      </c>
      <c r="L98" s="35" t="s">
        <v>45</v>
      </c>
      <c r="M98" s="35" t="s">
        <v>25</v>
      </c>
      <c r="N98" s="35" t="s">
        <v>26</v>
      </c>
      <c r="O98" s="37" t="s">
        <v>27</v>
      </c>
      <c r="P98" s="35" t="s">
        <v>34</v>
      </c>
      <c r="Q98" s="35" t="s">
        <v>35</v>
      </c>
      <c r="R98" s="26"/>
      <c r="S98" s="19"/>
      <c r="T98" s="19" t="s">
        <v>353</v>
      </c>
    </row>
    <row r="99" spans="1:20" s="2" customFormat="1" ht="12" customHeight="1">
      <c r="A99" s="18">
        <v>92</v>
      </c>
      <c r="B99" s="66" t="s">
        <v>185</v>
      </c>
      <c r="C99" s="67" t="s">
        <v>172</v>
      </c>
      <c r="D99" s="67" t="s">
        <v>172</v>
      </c>
      <c r="E99" s="66" t="s">
        <v>58</v>
      </c>
      <c r="F99" s="66" t="s">
        <v>172</v>
      </c>
      <c r="G99" s="66"/>
      <c r="H99" s="66" t="s">
        <v>172</v>
      </c>
      <c r="I99" s="66" t="s">
        <v>172</v>
      </c>
      <c r="J99" s="66" t="s">
        <v>172</v>
      </c>
      <c r="K99" s="66"/>
      <c r="L99" s="66" t="s">
        <v>172</v>
      </c>
      <c r="M99" s="68"/>
      <c r="N99" s="68"/>
      <c r="O99" s="66"/>
      <c r="P99" s="68"/>
      <c r="Q99" s="68"/>
      <c r="R99" s="66" t="s">
        <v>58</v>
      </c>
      <c r="S99" s="19"/>
      <c r="T99" s="66" t="s">
        <v>172</v>
      </c>
    </row>
    <row r="100" spans="1:20" s="2" customFormat="1" ht="12" customHeight="1">
      <c r="A100" s="13">
        <v>93</v>
      </c>
      <c r="B100" s="20" t="s">
        <v>194</v>
      </c>
      <c r="C100" s="41" t="s">
        <v>474</v>
      </c>
      <c r="D100" s="41" t="s">
        <v>475</v>
      </c>
      <c r="E100" s="38" t="s">
        <v>195</v>
      </c>
      <c r="F100" s="38" t="s">
        <v>195</v>
      </c>
      <c r="G100" s="24" t="s">
        <v>21</v>
      </c>
      <c r="H100" s="25" t="s">
        <v>22</v>
      </c>
      <c r="I100" s="25" t="s">
        <v>23</v>
      </c>
      <c r="J100" s="51">
        <v>28031</v>
      </c>
      <c r="K100" s="52">
        <f t="shared" ref="K100:K105" ca="1" si="2">INT((TODAY()-J100)/365)</f>
        <v>50</v>
      </c>
      <c r="L100" s="25" t="s">
        <v>24</v>
      </c>
      <c r="M100" s="25" t="s">
        <v>25</v>
      </c>
      <c r="N100" s="25" t="s">
        <v>26</v>
      </c>
      <c r="O100" s="24" t="s">
        <v>27</v>
      </c>
      <c r="P100" s="25" t="s">
        <v>34</v>
      </c>
      <c r="Q100" s="25" t="s">
        <v>35</v>
      </c>
      <c r="R100" s="18" t="s">
        <v>36</v>
      </c>
      <c r="S100" s="19"/>
      <c r="T100" s="19" t="s">
        <v>353</v>
      </c>
    </row>
    <row r="101" spans="1:20" s="2" customFormat="1" ht="12" customHeight="1">
      <c r="A101" s="13">
        <v>94</v>
      </c>
      <c r="B101" s="26"/>
      <c r="C101" s="42" t="s">
        <v>474</v>
      </c>
      <c r="D101" s="42" t="s">
        <v>476</v>
      </c>
      <c r="E101" s="29"/>
      <c r="F101" s="29" t="s">
        <v>196</v>
      </c>
      <c r="G101" s="31" t="s">
        <v>39</v>
      </c>
      <c r="H101" s="29" t="s">
        <v>40</v>
      </c>
      <c r="I101" s="29" t="s">
        <v>48</v>
      </c>
      <c r="J101" s="54">
        <v>28273</v>
      </c>
      <c r="K101" s="55">
        <f t="shared" ca="1" si="2"/>
        <v>49</v>
      </c>
      <c r="L101" s="29" t="s">
        <v>24</v>
      </c>
      <c r="M101" s="29" t="s">
        <v>25</v>
      </c>
      <c r="N101" s="29" t="s">
        <v>26</v>
      </c>
      <c r="O101" s="31" t="s">
        <v>27</v>
      </c>
      <c r="P101" s="29" t="s">
        <v>34</v>
      </c>
      <c r="Q101" s="29" t="s">
        <v>42</v>
      </c>
      <c r="R101" s="20"/>
      <c r="S101" s="19"/>
      <c r="T101" s="19" t="s">
        <v>353</v>
      </c>
    </row>
    <row r="102" spans="1:20" s="2" customFormat="1" ht="12" customHeight="1">
      <c r="A102" s="18">
        <v>95</v>
      </c>
      <c r="B102" s="26"/>
      <c r="C102" s="42" t="s">
        <v>474</v>
      </c>
      <c r="D102" s="42" t="s">
        <v>477</v>
      </c>
      <c r="E102" s="29"/>
      <c r="F102" s="29" t="s">
        <v>197</v>
      </c>
      <c r="G102" s="31" t="s">
        <v>21</v>
      </c>
      <c r="H102" s="29" t="s">
        <v>44</v>
      </c>
      <c r="I102" s="29" t="s">
        <v>23</v>
      </c>
      <c r="J102" s="54">
        <v>37590</v>
      </c>
      <c r="K102" s="55">
        <f t="shared" ca="1" si="2"/>
        <v>23</v>
      </c>
      <c r="L102" s="29" t="s">
        <v>45</v>
      </c>
      <c r="M102" s="29" t="s">
        <v>25</v>
      </c>
      <c r="N102" s="29" t="s">
        <v>26</v>
      </c>
      <c r="O102" s="31" t="s">
        <v>27</v>
      </c>
      <c r="P102" s="29" t="s">
        <v>34</v>
      </c>
      <c r="Q102" s="29" t="s">
        <v>50</v>
      </c>
      <c r="R102" s="26"/>
      <c r="S102" s="19"/>
      <c r="T102" s="19" t="s">
        <v>353</v>
      </c>
    </row>
    <row r="103" spans="1:20" s="2" customFormat="1" ht="12" customHeight="1">
      <c r="A103" s="13">
        <v>96</v>
      </c>
      <c r="B103" s="26"/>
      <c r="C103" s="42" t="s">
        <v>474</v>
      </c>
      <c r="D103" s="42" t="s">
        <v>478</v>
      </c>
      <c r="E103" s="29"/>
      <c r="F103" s="29" t="s">
        <v>198</v>
      </c>
      <c r="G103" s="31" t="s">
        <v>39</v>
      </c>
      <c r="H103" s="29" t="s">
        <v>44</v>
      </c>
      <c r="I103" s="29" t="s">
        <v>23</v>
      </c>
      <c r="J103" s="54">
        <v>39100</v>
      </c>
      <c r="K103" s="55">
        <f t="shared" ca="1" si="2"/>
        <v>19</v>
      </c>
      <c r="L103" s="29" t="s">
        <v>45</v>
      </c>
      <c r="M103" s="29" t="s">
        <v>25</v>
      </c>
      <c r="N103" s="29" t="s">
        <v>26</v>
      </c>
      <c r="O103" s="31" t="s">
        <v>27</v>
      </c>
      <c r="P103" s="29" t="s">
        <v>49</v>
      </c>
      <c r="Q103" s="29" t="s">
        <v>50</v>
      </c>
      <c r="R103" s="26"/>
      <c r="S103" s="19"/>
      <c r="T103" s="19" t="s">
        <v>353</v>
      </c>
    </row>
    <row r="104" spans="1:20" s="2" customFormat="1" ht="12" customHeight="1">
      <c r="A104" s="13">
        <v>97</v>
      </c>
      <c r="B104" s="26"/>
      <c r="C104" s="42" t="s">
        <v>474</v>
      </c>
      <c r="D104" s="42" t="s">
        <v>479</v>
      </c>
      <c r="E104" s="29"/>
      <c r="F104" s="29" t="s">
        <v>199</v>
      </c>
      <c r="G104" s="31" t="s">
        <v>39</v>
      </c>
      <c r="H104" s="29" t="s">
        <v>44</v>
      </c>
      <c r="I104" s="29" t="s">
        <v>23</v>
      </c>
      <c r="J104" s="54">
        <v>40745</v>
      </c>
      <c r="K104" s="55">
        <f t="shared" ca="1" si="2"/>
        <v>15</v>
      </c>
      <c r="L104" s="29" t="s">
        <v>45</v>
      </c>
      <c r="M104" s="29" t="s">
        <v>25</v>
      </c>
      <c r="N104" s="29" t="s">
        <v>26</v>
      </c>
      <c r="O104" s="31" t="s">
        <v>27</v>
      </c>
      <c r="P104" s="29" t="s">
        <v>61</v>
      </c>
      <c r="Q104" s="29" t="s">
        <v>50</v>
      </c>
      <c r="R104" s="26"/>
      <c r="S104" s="19"/>
      <c r="T104" s="19" t="s">
        <v>353</v>
      </c>
    </row>
    <row r="105" spans="1:20" s="2" customFormat="1" ht="12" customHeight="1">
      <c r="A105" s="18">
        <v>98</v>
      </c>
      <c r="B105" s="32"/>
      <c r="C105" s="43" t="s">
        <v>474</v>
      </c>
      <c r="D105" s="43" t="s">
        <v>480</v>
      </c>
      <c r="E105" s="35"/>
      <c r="F105" s="35" t="s">
        <v>200</v>
      </c>
      <c r="G105" s="37" t="s">
        <v>21</v>
      </c>
      <c r="H105" s="35" t="s">
        <v>44</v>
      </c>
      <c r="I105" s="35" t="s">
        <v>23</v>
      </c>
      <c r="J105" s="57">
        <v>41718</v>
      </c>
      <c r="K105" s="58">
        <f t="shared" ca="1" si="2"/>
        <v>12</v>
      </c>
      <c r="L105" s="35" t="s">
        <v>45</v>
      </c>
      <c r="M105" s="35" t="s">
        <v>25</v>
      </c>
      <c r="N105" s="35" t="s">
        <v>26</v>
      </c>
      <c r="O105" s="37" t="s">
        <v>27</v>
      </c>
      <c r="P105" s="35" t="s">
        <v>83</v>
      </c>
      <c r="Q105" s="35" t="s">
        <v>50</v>
      </c>
      <c r="R105" s="32"/>
      <c r="S105" s="19"/>
      <c r="T105" s="19" t="s">
        <v>353</v>
      </c>
    </row>
    <row r="106" spans="1:20" s="2" customFormat="1" ht="12" customHeight="1">
      <c r="A106" s="13">
        <v>99</v>
      </c>
      <c r="B106" s="20" t="s">
        <v>201</v>
      </c>
      <c r="C106" s="21" t="s">
        <v>481</v>
      </c>
      <c r="D106" s="22" t="s">
        <v>482</v>
      </c>
      <c r="E106" s="39" t="s">
        <v>202</v>
      </c>
      <c r="F106" s="39" t="s">
        <v>202</v>
      </c>
      <c r="G106" s="24" t="s">
        <v>21</v>
      </c>
      <c r="H106" s="25" t="s">
        <v>22</v>
      </c>
      <c r="I106" s="25" t="s">
        <v>203</v>
      </c>
      <c r="J106" s="51">
        <v>31659</v>
      </c>
      <c r="K106" s="52">
        <f t="shared" ca="1" si="1"/>
        <v>40</v>
      </c>
      <c r="L106" s="25" t="s">
        <v>24</v>
      </c>
      <c r="M106" s="25" t="s">
        <v>25</v>
      </c>
      <c r="N106" s="25" t="s">
        <v>26</v>
      </c>
      <c r="O106" s="24" t="s">
        <v>112</v>
      </c>
      <c r="P106" s="25" t="s">
        <v>204</v>
      </c>
      <c r="Q106" s="25" t="s">
        <v>35</v>
      </c>
      <c r="R106" s="20" t="s">
        <v>36</v>
      </c>
      <c r="S106" s="19"/>
      <c r="T106" s="19" t="s">
        <v>353</v>
      </c>
    </row>
    <row r="107" spans="1:20" s="2" customFormat="1" ht="12" customHeight="1">
      <c r="A107" s="13">
        <v>100</v>
      </c>
      <c r="B107" s="26"/>
      <c r="C107" s="27" t="s">
        <v>481</v>
      </c>
      <c r="D107" s="28" t="s">
        <v>483</v>
      </c>
      <c r="E107" s="29"/>
      <c r="F107" s="30" t="s">
        <v>205</v>
      </c>
      <c r="G107" s="31" t="s">
        <v>39</v>
      </c>
      <c r="H107" s="29" t="s">
        <v>40</v>
      </c>
      <c r="I107" s="29" t="s">
        <v>203</v>
      </c>
      <c r="J107" s="54">
        <v>31270</v>
      </c>
      <c r="K107" s="55">
        <f t="shared" ca="1" si="1"/>
        <v>41</v>
      </c>
      <c r="L107" s="29" t="s">
        <v>24</v>
      </c>
      <c r="M107" s="29" t="s">
        <v>25</v>
      </c>
      <c r="N107" s="29" t="s">
        <v>26</v>
      </c>
      <c r="O107" s="31" t="s">
        <v>112</v>
      </c>
      <c r="P107" s="29" t="s">
        <v>126</v>
      </c>
      <c r="Q107" s="29" t="s">
        <v>42</v>
      </c>
      <c r="R107" s="26"/>
      <c r="S107" s="19"/>
      <c r="T107" s="19" t="s">
        <v>353</v>
      </c>
    </row>
    <row r="108" spans="1:20" s="2" customFormat="1" ht="12" customHeight="1">
      <c r="A108" s="18">
        <v>101</v>
      </c>
      <c r="B108" s="26"/>
      <c r="C108" s="27" t="s">
        <v>481</v>
      </c>
      <c r="D108" s="28" t="s">
        <v>484</v>
      </c>
      <c r="E108" s="29"/>
      <c r="F108" s="30" t="s">
        <v>206</v>
      </c>
      <c r="G108" s="31" t="s">
        <v>21</v>
      </c>
      <c r="H108" s="29" t="s">
        <v>44</v>
      </c>
      <c r="I108" s="29" t="s">
        <v>203</v>
      </c>
      <c r="J108" s="54">
        <v>40994</v>
      </c>
      <c r="K108" s="55">
        <f t="shared" ca="1" si="1"/>
        <v>14</v>
      </c>
      <c r="L108" s="29" t="s">
        <v>45</v>
      </c>
      <c r="M108" s="29" t="s">
        <v>25</v>
      </c>
      <c r="N108" s="29" t="s">
        <v>26</v>
      </c>
      <c r="O108" s="31" t="s">
        <v>112</v>
      </c>
      <c r="P108" s="29" t="s">
        <v>61</v>
      </c>
      <c r="Q108" s="29" t="s">
        <v>50</v>
      </c>
      <c r="R108" s="26"/>
      <c r="S108" s="19"/>
      <c r="T108" s="19" t="s">
        <v>353</v>
      </c>
    </row>
    <row r="109" spans="1:20" s="2" customFormat="1" ht="12" customHeight="1">
      <c r="A109" s="13">
        <v>102</v>
      </c>
      <c r="B109" s="32"/>
      <c r="C109" s="33" t="s">
        <v>481</v>
      </c>
      <c r="D109" s="34" t="s">
        <v>485</v>
      </c>
      <c r="E109" s="35"/>
      <c r="F109" s="36" t="s">
        <v>207</v>
      </c>
      <c r="G109" s="37" t="s">
        <v>21</v>
      </c>
      <c r="H109" s="35" t="s">
        <v>44</v>
      </c>
      <c r="I109" s="35" t="s">
        <v>23</v>
      </c>
      <c r="J109" s="57">
        <v>42595</v>
      </c>
      <c r="K109" s="58">
        <f t="shared" ca="1" si="1"/>
        <v>10</v>
      </c>
      <c r="L109" s="35" t="s">
        <v>45</v>
      </c>
      <c r="M109" s="35" t="s">
        <v>25</v>
      </c>
      <c r="N109" s="35" t="s">
        <v>26</v>
      </c>
      <c r="O109" s="37" t="s">
        <v>27</v>
      </c>
      <c r="P109" s="35" t="s">
        <v>83</v>
      </c>
      <c r="Q109" s="35" t="s">
        <v>50</v>
      </c>
      <c r="R109" s="32"/>
      <c r="S109" s="19"/>
      <c r="T109" s="19" t="s">
        <v>353</v>
      </c>
    </row>
    <row r="110" spans="1:20" s="2" customFormat="1" ht="12" customHeight="1">
      <c r="A110" s="13">
        <v>103</v>
      </c>
      <c r="B110" s="64" t="s">
        <v>208</v>
      </c>
      <c r="C110" s="67" t="s">
        <v>172</v>
      </c>
      <c r="D110" s="67" t="s">
        <v>172</v>
      </c>
      <c r="E110" s="66" t="s">
        <v>58</v>
      </c>
      <c r="F110" s="66" t="s">
        <v>172</v>
      </c>
      <c r="G110" s="66"/>
      <c r="H110" s="66" t="s">
        <v>172</v>
      </c>
      <c r="I110" s="66" t="s">
        <v>172</v>
      </c>
      <c r="J110" s="66" t="s">
        <v>172</v>
      </c>
      <c r="K110" s="66"/>
      <c r="L110" s="66" t="s">
        <v>172</v>
      </c>
      <c r="M110" s="66" t="s">
        <v>172</v>
      </c>
      <c r="N110" s="66" t="s">
        <v>172</v>
      </c>
      <c r="O110" s="66" t="s">
        <v>172</v>
      </c>
      <c r="P110" s="66" t="s">
        <v>172</v>
      </c>
      <c r="Q110" s="66" t="s">
        <v>172</v>
      </c>
      <c r="R110" s="66" t="s">
        <v>58</v>
      </c>
      <c r="S110" s="19"/>
      <c r="T110" s="66" t="s">
        <v>172</v>
      </c>
    </row>
    <row r="111" spans="1:20" s="2" customFormat="1" ht="12" customHeight="1">
      <c r="A111" s="18">
        <v>104</v>
      </c>
      <c r="B111" s="20" t="s">
        <v>213</v>
      </c>
      <c r="C111" s="21" t="s">
        <v>486</v>
      </c>
      <c r="D111" s="22" t="s">
        <v>487</v>
      </c>
      <c r="E111" s="38" t="s">
        <v>214</v>
      </c>
      <c r="F111" s="39" t="s">
        <v>214</v>
      </c>
      <c r="G111" s="24" t="s">
        <v>21</v>
      </c>
      <c r="H111" s="25" t="s">
        <v>22</v>
      </c>
      <c r="I111" s="25" t="s">
        <v>215</v>
      </c>
      <c r="J111" s="51">
        <v>24365</v>
      </c>
      <c r="K111" s="52">
        <f t="shared" ref="K111:K117" ca="1" si="3">INT((TODAY()-J111)/365)</f>
        <v>60</v>
      </c>
      <c r="L111" s="25" t="s">
        <v>24</v>
      </c>
      <c r="M111" s="25" t="s">
        <v>25</v>
      </c>
      <c r="N111" s="25" t="s">
        <v>26</v>
      </c>
      <c r="O111" s="24" t="s">
        <v>27</v>
      </c>
      <c r="P111" s="25" t="s">
        <v>34</v>
      </c>
      <c r="Q111" s="25" t="s">
        <v>35</v>
      </c>
      <c r="R111" s="20" t="s">
        <v>36</v>
      </c>
      <c r="S111" s="19"/>
      <c r="T111" s="19" t="s">
        <v>353</v>
      </c>
    </row>
    <row r="112" spans="1:20" s="2" customFormat="1" ht="12" customHeight="1">
      <c r="A112" s="13">
        <v>105</v>
      </c>
      <c r="B112" s="26"/>
      <c r="C112" s="27" t="s">
        <v>486</v>
      </c>
      <c r="D112" s="28" t="s">
        <v>488</v>
      </c>
      <c r="E112" s="29"/>
      <c r="F112" s="30" t="s">
        <v>216</v>
      </c>
      <c r="G112" s="31" t="s">
        <v>39</v>
      </c>
      <c r="H112" s="29" t="s">
        <v>40</v>
      </c>
      <c r="I112" s="29" t="s">
        <v>217</v>
      </c>
      <c r="J112" s="54">
        <v>27890</v>
      </c>
      <c r="K112" s="55">
        <f t="shared" ca="1" si="3"/>
        <v>50</v>
      </c>
      <c r="L112" s="29" t="s">
        <v>24</v>
      </c>
      <c r="M112" s="29" t="s">
        <v>25</v>
      </c>
      <c r="N112" s="29" t="s">
        <v>26</v>
      </c>
      <c r="O112" s="31" t="s">
        <v>112</v>
      </c>
      <c r="P112" s="29" t="s">
        <v>34</v>
      </c>
      <c r="Q112" s="29" t="s">
        <v>35</v>
      </c>
      <c r="R112" s="26"/>
      <c r="S112" s="19"/>
      <c r="T112" s="19" t="s">
        <v>353</v>
      </c>
    </row>
    <row r="113" spans="1:20" s="2" customFormat="1" ht="12" customHeight="1">
      <c r="A113" s="13">
        <v>106</v>
      </c>
      <c r="B113" s="32"/>
      <c r="C113" s="33" t="s">
        <v>486</v>
      </c>
      <c r="D113" s="34" t="s">
        <v>489</v>
      </c>
      <c r="E113" s="35"/>
      <c r="F113" s="36" t="s">
        <v>218</v>
      </c>
      <c r="G113" s="37" t="s">
        <v>39</v>
      </c>
      <c r="H113" s="35" t="s">
        <v>44</v>
      </c>
      <c r="I113" s="35" t="s">
        <v>23</v>
      </c>
      <c r="J113" s="57">
        <v>37926</v>
      </c>
      <c r="K113" s="58">
        <f t="shared" ca="1" si="3"/>
        <v>22</v>
      </c>
      <c r="L113" s="35" t="s">
        <v>45</v>
      </c>
      <c r="M113" s="35" t="s">
        <v>25</v>
      </c>
      <c r="N113" s="35" t="s">
        <v>26</v>
      </c>
      <c r="O113" s="37" t="s">
        <v>27</v>
      </c>
      <c r="P113" s="35" t="s">
        <v>91</v>
      </c>
      <c r="Q113" s="35" t="s">
        <v>50</v>
      </c>
      <c r="R113" s="32"/>
      <c r="S113" s="19"/>
      <c r="T113" s="19" t="s">
        <v>353</v>
      </c>
    </row>
    <row r="114" spans="1:20" s="2" customFormat="1" ht="12" customHeight="1">
      <c r="A114" s="18">
        <v>107</v>
      </c>
      <c r="B114" s="20" t="s">
        <v>219</v>
      </c>
      <c r="C114" s="41" t="s">
        <v>490</v>
      </c>
      <c r="D114" s="41" t="s">
        <v>491</v>
      </c>
      <c r="E114" s="38" t="s">
        <v>220</v>
      </c>
      <c r="F114" s="38" t="s">
        <v>221</v>
      </c>
      <c r="G114" s="24" t="s">
        <v>21</v>
      </c>
      <c r="H114" s="25" t="s">
        <v>22</v>
      </c>
      <c r="I114" s="25" t="s">
        <v>23</v>
      </c>
      <c r="J114" s="51">
        <v>26631</v>
      </c>
      <c r="K114" s="52">
        <f t="shared" ca="1" si="3"/>
        <v>53</v>
      </c>
      <c r="L114" s="25" t="s">
        <v>24</v>
      </c>
      <c r="M114" s="25" t="s">
        <v>25</v>
      </c>
      <c r="N114" s="25" t="s">
        <v>26</v>
      </c>
      <c r="O114" s="24" t="s">
        <v>27</v>
      </c>
      <c r="P114" s="25" t="s">
        <v>34</v>
      </c>
      <c r="Q114" s="25" t="s">
        <v>35</v>
      </c>
      <c r="R114" s="20" t="s">
        <v>36</v>
      </c>
      <c r="S114" s="19"/>
      <c r="T114" s="19" t="s">
        <v>353</v>
      </c>
    </row>
    <row r="115" spans="1:20" s="2" customFormat="1" ht="12" customHeight="1">
      <c r="A115" s="13">
        <v>108</v>
      </c>
      <c r="B115" s="26"/>
      <c r="C115" s="42" t="s">
        <v>490</v>
      </c>
      <c r="D115" s="42" t="s">
        <v>492</v>
      </c>
      <c r="E115" s="29"/>
      <c r="F115" s="29" t="s">
        <v>222</v>
      </c>
      <c r="G115" s="31" t="s">
        <v>39</v>
      </c>
      <c r="H115" s="29" t="s">
        <v>40</v>
      </c>
      <c r="I115" s="29" t="s">
        <v>23</v>
      </c>
      <c r="J115" s="54">
        <v>27748</v>
      </c>
      <c r="K115" s="55">
        <f t="shared" ca="1" si="3"/>
        <v>50</v>
      </c>
      <c r="L115" s="29" t="s">
        <v>24</v>
      </c>
      <c r="M115" s="29" t="s">
        <v>25</v>
      </c>
      <c r="N115" s="29" t="s">
        <v>26</v>
      </c>
      <c r="O115" s="31" t="s">
        <v>27</v>
      </c>
      <c r="P115" s="29" t="s">
        <v>34</v>
      </c>
      <c r="Q115" s="29" t="s">
        <v>42</v>
      </c>
      <c r="R115" s="26"/>
      <c r="S115" s="19"/>
      <c r="T115" s="19" t="s">
        <v>353</v>
      </c>
    </row>
    <row r="116" spans="1:20" s="2" customFormat="1" ht="12" customHeight="1">
      <c r="A116" s="13">
        <v>109</v>
      </c>
      <c r="B116" s="26"/>
      <c r="C116" s="42" t="s">
        <v>490</v>
      </c>
      <c r="D116" s="42" t="s">
        <v>493</v>
      </c>
      <c r="E116" s="29"/>
      <c r="F116" s="29" t="s">
        <v>494</v>
      </c>
      <c r="G116" s="31" t="s">
        <v>21</v>
      </c>
      <c r="H116" s="29" t="s">
        <v>44</v>
      </c>
      <c r="I116" s="29" t="s">
        <v>23</v>
      </c>
      <c r="J116" s="54">
        <v>36031</v>
      </c>
      <c r="K116" s="55">
        <f t="shared" ca="1" si="3"/>
        <v>28</v>
      </c>
      <c r="L116" s="29" t="s">
        <v>45</v>
      </c>
      <c r="M116" s="29" t="s">
        <v>25</v>
      </c>
      <c r="N116" s="29" t="s">
        <v>26</v>
      </c>
      <c r="O116" s="31" t="s">
        <v>27</v>
      </c>
      <c r="P116" s="29" t="s">
        <v>34</v>
      </c>
      <c r="Q116" s="29" t="s">
        <v>50</v>
      </c>
      <c r="R116" s="26"/>
      <c r="S116" s="19"/>
      <c r="T116" s="19" t="s">
        <v>353</v>
      </c>
    </row>
    <row r="117" spans="1:20" s="2" customFormat="1" ht="12" customHeight="1">
      <c r="A117" s="18">
        <v>110</v>
      </c>
      <c r="B117" s="32"/>
      <c r="C117" s="43" t="s">
        <v>490</v>
      </c>
      <c r="D117" s="43" t="s">
        <v>495</v>
      </c>
      <c r="E117" s="35"/>
      <c r="F117" s="35" t="s">
        <v>223</v>
      </c>
      <c r="G117" s="37" t="s">
        <v>39</v>
      </c>
      <c r="H117" s="35" t="s">
        <v>44</v>
      </c>
      <c r="I117" s="35" t="s">
        <v>23</v>
      </c>
      <c r="J117" s="57">
        <v>40282</v>
      </c>
      <c r="K117" s="58">
        <f t="shared" ca="1" si="3"/>
        <v>16</v>
      </c>
      <c r="L117" s="35" t="s">
        <v>45</v>
      </c>
      <c r="M117" s="35" t="s">
        <v>25</v>
      </c>
      <c r="N117" s="35" t="s">
        <v>26</v>
      </c>
      <c r="O117" s="37" t="s">
        <v>27</v>
      </c>
      <c r="P117" s="35" t="s">
        <v>61</v>
      </c>
      <c r="Q117" s="35" t="s">
        <v>50</v>
      </c>
      <c r="R117" s="32"/>
      <c r="S117" s="19"/>
      <c r="T117" s="19" t="s">
        <v>353</v>
      </c>
    </row>
    <row r="118" spans="1:20" s="2" customFormat="1" ht="12" customHeight="1">
      <c r="A118" s="13">
        <v>111</v>
      </c>
      <c r="B118" s="20" t="s">
        <v>496</v>
      </c>
      <c r="C118" s="21" t="s">
        <v>497</v>
      </c>
      <c r="D118" s="22" t="s">
        <v>498</v>
      </c>
      <c r="E118" s="39" t="s">
        <v>499</v>
      </c>
      <c r="F118" s="39" t="s">
        <v>499</v>
      </c>
      <c r="G118" s="24" t="s">
        <v>21</v>
      </c>
      <c r="H118" s="25" t="s">
        <v>22</v>
      </c>
      <c r="I118" s="25" t="s">
        <v>133</v>
      </c>
      <c r="J118" s="51">
        <v>32512</v>
      </c>
      <c r="K118" s="52">
        <f t="shared" ca="1" si="1"/>
        <v>37</v>
      </c>
      <c r="L118" s="25" t="s">
        <v>24</v>
      </c>
      <c r="M118" s="25" t="s">
        <v>25</v>
      </c>
      <c r="N118" s="25" t="s">
        <v>26</v>
      </c>
      <c r="O118" s="24" t="s">
        <v>112</v>
      </c>
      <c r="P118" s="25" t="s">
        <v>98</v>
      </c>
      <c r="Q118" s="25" t="s">
        <v>29</v>
      </c>
      <c r="R118" s="20" t="s">
        <v>30</v>
      </c>
      <c r="S118" s="19"/>
      <c r="T118" s="19" t="s">
        <v>350</v>
      </c>
    </row>
    <row r="119" spans="1:20" s="2" customFormat="1" ht="12" customHeight="1">
      <c r="A119" s="13">
        <v>112</v>
      </c>
      <c r="B119" s="26"/>
      <c r="C119" s="27" t="s">
        <v>497</v>
      </c>
      <c r="D119" s="28" t="s">
        <v>500</v>
      </c>
      <c r="E119" s="29"/>
      <c r="F119" s="30" t="s">
        <v>501</v>
      </c>
      <c r="G119" s="31" t="s">
        <v>39</v>
      </c>
      <c r="H119" s="29" t="s">
        <v>40</v>
      </c>
      <c r="I119" s="29" t="s">
        <v>133</v>
      </c>
      <c r="J119" s="54">
        <v>33451</v>
      </c>
      <c r="K119" s="55">
        <f t="shared" ca="1" si="1"/>
        <v>35</v>
      </c>
      <c r="L119" s="29" t="s">
        <v>24</v>
      </c>
      <c r="M119" s="29" t="s">
        <v>25</v>
      </c>
      <c r="N119" s="29" t="s">
        <v>26</v>
      </c>
      <c r="O119" s="31" t="s">
        <v>112</v>
      </c>
      <c r="P119" s="25" t="s">
        <v>98</v>
      </c>
      <c r="Q119" s="29" t="s">
        <v>42</v>
      </c>
      <c r="R119" s="26"/>
      <c r="S119" s="19"/>
      <c r="T119" s="19" t="s">
        <v>350</v>
      </c>
    </row>
    <row r="120" spans="1:20" s="2" customFormat="1" ht="12" customHeight="1">
      <c r="A120" s="18">
        <v>113</v>
      </c>
      <c r="B120" s="32"/>
      <c r="C120" s="33" t="s">
        <v>497</v>
      </c>
      <c r="D120" s="34" t="s">
        <v>502</v>
      </c>
      <c r="E120" s="35"/>
      <c r="F120" s="36" t="s">
        <v>503</v>
      </c>
      <c r="G120" s="37" t="s">
        <v>39</v>
      </c>
      <c r="H120" s="35" t="s">
        <v>44</v>
      </c>
      <c r="I120" s="35" t="s">
        <v>133</v>
      </c>
      <c r="J120" s="57">
        <v>42000</v>
      </c>
      <c r="K120" s="58">
        <f t="shared" ca="1" si="1"/>
        <v>11</v>
      </c>
      <c r="L120" s="35" t="s">
        <v>45</v>
      </c>
      <c r="M120" s="35" t="s">
        <v>25</v>
      </c>
      <c r="N120" s="35" t="s">
        <v>26</v>
      </c>
      <c r="O120" s="37" t="s">
        <v>112</v>
      </c>
      <c r="P120" s="35" t="s">
        <v>62</v>
      </c>
      <c r="Q120" s="35" t="s">
        <v>63</v>
      </c>
      <c r="R120" s="32"/>
      <c r="S120" s="19"/>
      <c r="T120" s="19" t="s">
        <v>350</v>
      </c>
    </row>
    <row r="121" spans="1:20" s="2" customFormat="1" ht="12" customHeight="1">
      <c r="A121" s="13">
        <v>114</v>
      </c>
      <c r="B121" s="20" t="s">
        <v>504</v>
      </c>
      <c r="C121" s="21" t="s">
        <v>172</v>
      </c>
      <c r="D121" s="22" t="s">
        <v>505</v>
      </c>
      <c r="E121" s="25"/>
      <c r="F121" s="59" t="s">
        <v>506</v>
      </c>
      <c r="G121" s="24" t="s">
        <v>21</v>
      </c>
      <c r="H121" s="24" t="s">
        <v>172</v>
      </c>
      <c r="I121" s="25" t="s">
        <v>128</v>
      </c>
      <c r="J121" s="51">
        <v>36012</v>
      </c>
      <c r="K121" s="52">
        <f t="shared" ca="1" si="1"/>
        <v>28</v>
      </c>
      <c r="L121" s="25" t="s">
        <v>45</v>
      </c>
      <c r="M121" s="25" t="s">
        <v>25</v>
      </c>
      <c r="N121" s="25" t="s">
        <v>26</v>
      </c>
      <c r="O121" s="24" t="s">
        <v>27</v>
      </c>
      <c r="P121" s="25" t="s">
        <v>34</v>
      </c>
      <c r="Q121" s="25" t="s">
        <v>35</v>
      </c>
      <c r="R121" s="20" t="s">
        <v>30</v>
      </c>
      <c r="S121" s="19"/>
      <c r="T121" s="19" t="s">
        <v>350</v>
      </c>
    </row>
    <row r="122" spans="1:20" s="2" customFormat="1" ht="12" customHeight="1">
      <c r="A122" s="13">
        <v>115</v>
      </c>
      <c r="B122" s="26"/>
      <c r="C122" s="27" t="s">
        <v>172</v>
      </c>
      <c r="D122" s="28" t="s">
        <v>507</v>
      </c>
      <c r="E122" s="29"/>
      <c r="F122" s="30" t="s">
        <v>508</v>
      </c>
      <c r="G122" s="31" t="s">
        <v>21</v>
      </c>
      <c r="H122" s="31" t="s">
        <v>172</v>
      </c>
      <c r="I122" s="29" t="s">
        <v>101</v>
      </c>
      <c r="J122" s="54">
        <v>36211</v>
      </c>
      <c r="K122" s="55">
        <f t="shared" ca="1" si="1"/>
        <v>27</v>
      </c>
      <c r="L122" s="29" t="s">
        <v>45</v>
      </c>
      <c r="M122" s="29" t="s">
        <v>25</v>
      </c>
      <c r="N122" s="29" t="s">
        <v>26</v>
      </c>
      <c r="O122" s="31" t="s">
        <v>27</v>
      </c>
      <c r="P122" s="29" t="s">
        <v>34</v>
      </c>
      <c r="Q122" s="29" t="s">
        <v>35</v>
      </c>
      <c r="R122" s="26"/>
      <c r="S122" s="19"/>
      <c r="T122" s="19" t="s">
        <v>350</v>
      </c>
    </row>
    <row r="123" spans="1:20" s="2" customFormat="1" ht="12" customHeight="1">
      <c r="A123" s="18">
        <v>116</v>
      </c>
      <c r="B123" s="26"/>
      <c r="C123" s="27" t="s">
        <v>172</v>
      </c>
      <c r="D123" s="28" t="s">
        <v>509</v>
      </c>
      <c r="E123" s="29"/>
      <c r="F123" s="30" t="s">
        <v>510</v>
      </c>
      <c r="G123" s="31" t="s">
        <v>21</v>
      </c>
      <c r="H123" s="31" t="s">
        <v>172</v>
      </c>
      <c r="I123" s="29" t="s">
        <v>511</v>
      </c>
      <c r="J123" s="54">
        <v>32181</v>
      </c>
      <c r="K123" s="55">
        <f t="shared" ca="1" si="1"/>
        <v>38</v>
      </c>
      <c r="L123" s="29" t="s">
        <v>24</v>
      </c>
      <c r="M123" s="29" t="s">
        <v>25</v>
      </c>
      <c r="N123" s="29" t="s">
        <v>26</v>
      </c>
      <c r="O123" s="31" t="s">
        <v>27</v>
      </c>
      <c r="P123" s="29" t="s">
        <v>34</v>
      </c>
      <c r="Q123" s="29" t="s">
        <v>35</v>
      </c>
      <c r="R123" s="26"/>
      <c r="S123" s="19"/>
      <c r="T123" s="19" t="s">
        <v>350</v>
      </c>
    </row>
    <row r="124" spans="1:20" s="2" customFormat="1" ht="12" customHeight="1">
      <c r="A124" s="13">
        <v>117</v>
      </c>
      <c r="B124" s="32"/>
      <c r="C124" s="33" t="s">
        <v>172</v>
      </c>
      <c r="D124" s="34" t="s">
        <v>512</v>
      </c>
      <c r="E124" s="35"/>
      <c r="F124" s="36" t="s">
        <v>513</v>
      </c>
      <c r="G124" s="37" t="s">
        <v>21</v>
      </c>
      <c r="H124" s="37" t="s">
        <v>172</v>
      </c>
      <c r="I124" s="35" t="s">
        <v>128</v>
      </c>
      <c r="J124" s="57">
        <v>37712</v>
      </c>
      <c r="K124" s="58">
        <f t="shared" ca="1" si="1"/>
        <v>23</v>
      </c>
      <c r="L124" s="35" t="s">
        <v>45</v>
      </c>
      <c r="M124" s="35" t="s">
        <v>25</v>
      </c>
      <c r="N124" s="35" t="s">
        <v>26</v>
      </c>
      <c r="O124" s="37" t="s">
        <v>27</v>
      </c>
      <c r="P124" s="35" t="s">
        <v>34</v>
      </c>
      <c r="Q124" s="35" t="s">
        <v>35</v>
      </c>
      <c r="R124" s="32"/>
      <c r="S124" s="19"/>
      <c r="T124" s="19" t="s">
        <v>350</v>
      </c>
    </row>
    <row r="125" spans="1:20" s="2" customFormat="1" ht="12" customHeight="1">
      <c r="A125" s="13">
        <v>118</v>
      </c>
      <c r="B125" s="64" t="s">
        <v>224</v>
      </c>
      <c r="C125" s="67" t="s">
        <v>172</v>
      </c>
      <c r="D125" s="67" t="s">
        <v>172</v>
      </c>
      <c r="E125" s="66" t="s">
        <v>58</v>
      </c>
      <c r="F125" s="66" t="s">
        <v>172</v>
      </c>
      <c r="G125" s="66"/>
      <c r="H125" s="68"/>
      <c r="I125" s="66" t="s">
        <v>172</v>
      </c>
      <c r="J125" s="66" t="s">
        <v>172</v>
      </c>
      <c r="K125" s="66"/>
      <c r="L125" s="66" t="s">
        <v>172</v>
      </c>
      <c r="M125" s="66" t="s">
        <v>172</v>
      </c>
      <c r="N125" s="66" t="s">
        <v>172</v>
      </c>
      <c r="O125" s="66" t="s">
        <v>172</v>
      </c>
      <c r="P125" s="66" t="s">
        <v>172</v>
      </c>
      <c r="Q125" s="66" t="s">
        <v>172</v>
      </c>
      <c r="R125" s="66" t="s">
        <v>58</v>
      </c>
      <c r="S125" s="19"/>
      <c r="T125" s="66" t="s">
        <v>172</v>
      </c>
    </row>
    <row r="126" spans="1:20" s="2" customFormat="1" ht="12" customHeight="1">
      <c r="A126" s="18">
        <v>119</v>
      </c>
      <c r="B126" s="20" t="s">
        <v>228</v>
      </c>
      <c r="C126" s="21" t="s">
        <v>514</v>
      </c>
      <c r="D126" s="22" t="s">
        <v>515</v>
      </c>
      <c r="E126" s="38" t="s">
        <v>229</v>
      </c>
      <c r="F126" s="38" t="s">
        <v>229</v>
      </c>
      <c r="G126" s="24" t="s">
        <v>21</v>
      </c>
      <c r="H126" s="25" t="s">
        <v>22</v>
      </c>
      <c r="I126" s="25" t="s">
        <v>23</v>
      </c>
      <c r="J126" s="51">
        <v>34706</v>
      </c>
      <c r="K126" s="52">
        <f t="shared" ca="1" si="1"/>
        <v>31</v>
      </c>
      <c r="L126" s="25" t="s">
        <v>24</v>
      </c>
      <c r="M126" s="25" t="s">
        <v>25</v>
      </c>
      <c r="N126" s="25" t="s">
        <v>26</v>
      </c>
      <c r="O126" s="24" t="s">
        <v>27</v>
      </c>
      <c r="P126" s="29" t="s">
        <v>34</v>
      </c>
      <c r="Q126" s="35" t="s">
        <v>35</v>
      </c>
      <c r="R126" s="20" t="s">
        <v>30</v>
      </c>
      <c r="S126" s="19"/>
      <c r="T126" s="19" t="s">
        <v>353</v>
      </c>
    </row>
    <row r="127" spans="1:20" s="2" customFormat="1" ht="12" customHeight="1">
      <c r="A127" s="13">
        <v>120</v>
      </c>
      <c r="B127" s="26"/>
      <c r="C127" s="27" t="s">
        <v>514</v>
      </c>
      <c r="D127" s="28" t="s">
        <v>516</v>
      </c>
      <c r="E127" s="29"/>
      <c r="F127" s="30" t="s">
        <v>230</v>
      </c>
      <c r="G127" s="31" t="s">
        <v>39</v>
      </c>
      <c r="H127" s="29" t="s">
        <v>40</v>
      </c>
      <c r="I127" s="29" t="s">
        <v>23</v>
      </c>
      <c r="J127" s="54">
        <v>36631</v>
      </c>
      <c r="K127" s="55">
        <f t="shared" ca="1" si="1"/>
        <v>26</v>
      </c>
      <c r="L127" s="29" t="s">
        <v>24</v>
      </c>
      <c r="M127" s="29" t="s">
        <v>25</v>
      </c>
      <c r="N127" s="29" t="s">
        <v>26</v>
      </c>
      <c r="O127" s="31" t="s">
        <v>27</v>
      </c>
      <c r="P127" s="29" t="s">
        <v>34</v>
      </c>
      <c r="Q127" s="29" t="s">
        <v>42</v>
      </c>
      <c r="R127" s="26"/>
      <c r="S127" s="19"/>
      <c r="T127" s="19" t="s">
        <v>353</v>
      </c>
    </row>
    <row r="128" spans="1:20" s="2" customFormat="1" ht="12" customHeight="1">
      <c r="A128" s="13">
        <v>121</v>
      </c>
      <c r="B128" s="32"/>
      <c r="C128" s="33" t="s">
        <v>514</v>
      </c>
      <c r="D128" s="34" t="s">
        <v>517</v>
      </c>
      <c r="E128" s="35"/>
      <c r="F128" s="36" t="s">
        <v>231</v>
      </c>
      <c r="G128" s="37" t="s">
        <v>39</v>
      </c>
      <c r="H128" s="35" t="s">
        <v>44</v>
      </c>
      <c r="I128" s="35" t="s">
        <v>23</v>
      </c>
      <c r="J128" s="57">
        <v>44093</v>
      </c>
      <c r="K128" s="58">
        <f t="shared" ca="1" si="1"/>
        <v>6</v>
      </c>
      <c r="L128" s="35" t="s">
        <v>45</v>
      </c>
      <c r="M128" s="35" t="s">
        <v>25</v>
      </c>
      <c r="N128" s="35" t="s">
        <v>26</v>
      </c>
      <c r="O128" s="37" t="s">
        <v>27</v>
      </c>
      <c r="P128" s="35" t="s">
        <v>62</v>
      </c>
      <c r="Q128" s="29" t="s">
        <v>63</v>
      </c>
      <c r="R128" s="32"/>
      <c r="S128" s="19"/>
      <c r="T128" s="19" t="s">
        <v>353</v>
      </c>
    </row>
    <row r="129" spans="1:20" s="2" customFormat="1" ht="12" customHeight="1">
      <c r="A129" s="18">
        <v>122</v>
      </c>
      <c r="B129" s="20" t="s">
        <v>518</v>
      </c>
      <c r="C129" s="21" t="s">
        <v>519</v>
      </c>
      <c r="D129" s="22" t="s">
        <v>520</v>
      </c>
      <c r="E129" s="39" t="s">
        <v>521</v>
      </c>
      <c r="F129" s="39" t="s">
        <v>521</v>
      </c>
      <c r="G129" s="24" t="s">
        <v>21</v>
      </c>
      <c r="H129" s="25" t="s">
        <v>22</v>
      </c>
      <c r="I129" s="25" t="s">
        <v>23</v>
      </c>
      <c r="J129" s="51">
        <v>34614</v>
      </c>
      <c r="K129" s="52">
        <f t="shared" ca="1" si="1"/>
        <v>32</v>
      </c>
      <c r="L129" s="25" t="s">
        <v>24</v>
      </c>
      <c r="M129" s="25" t="s">
        <v>25</v>
      </c>
      <c r="N129" s="25" t="s">
        <v>26</v>
      </c>
      <c r="O129" s="24" t="s">
        <v>27</v>
      </c>
      <c r="P129" s="29" t="s">
        <v>34</v>
      </c>
      <c r="Q129" s="25" t="s">
        <v>99</v>
      </c>
      <c r="R129" s="20" t="s">
        <v>30</v>
      </c>
      <c r="S129" s="19"/>
      <c r="T129" s="19" t="s">
        <v>350</v>
      </c>
    </row>
    <row r="130" spans="1:20" s="2" customFormat="1" ht="12" customHeight="1">
      <c r="A130" s="13">
        <v>123</v>
      </c>
      <c r="B130" s="26"/>
      <c r="C130" s="27" t="s">
        <v>519</v>
      </c>
      <c r="D130" s="28" t="s">
        <v>522</v>
      </c>
      <c r="E130" s="29"/>
      <c r="F130" s="30" t="s">
        <v>523</v>
      </c>
      <c r="G130" s="31" t="s">
        <v>39</v>
      </c>
      <c r="H130" s="29" t="s">
        <v>40</v>
      </c>
      <c r="I130" s="29" t="s">
        <v>101</v>
      </c>
      <c r="J130" s="54">
        <v>34033</v>
      </c>
      <c r="K130" s="55">
        <f t="shared" ca="1" si="1"/>
        <v>33</v>
      </c>
      <c r="L130" s="29" t="s">
        <v>24</v>
      </c>
      <c r="M130" s="29" t="s">
        <v>25</v>
      </c>
      <c r="N130" s="29" t="s">
        <v>26</v>
      </c>
      <c r="O130" s="31" t="s">
        <v>27</v>
      </c>
      <c r="P130" s="29" t="s">
        <v>34</v>
      </c>
      <c r="Q130" s="29" t="s">
        <v>42</v>
      </c>
      <c r="R130" s="26"/>
      <c r="S130" s="19"/>
      <c r="T130" s="19" t="s">
        <v>350</v>
      </c>
    </row>
    <row r="131" spans="1:20" s="2" customFormat="1" ht="12" customHeight="1">
      <c r="A131" s="13">
        <v>124</v>
      </c>
      <c r="B131" s="26"/>
      <c r="C131" s="27" t="s">
        <v>519</v>
      </c>
      <c r="D131" s="28" t="s">
        <v>524</v>
      </c>
      <c r="E131" s="29"/>
      <c r="F131" s="30" t="s">
        <v>525</v>
      </c>
      <c r="G131" s="31" t="s">
        <v>39</v>
      </c>
      <c r="H131" s="29" t="s">
        <v>44</v>
      </c>
      <c r="I131" s="29" t="s">
        <v>101</v>
      </c>
      <c r="J131" s="54">
        <v>41794</v>
      </c>
      <c r="K131" s="55">
        <f t="shared" ca="1" si="1"/>
        <v>12</v>
      </c>
      <c r="L131" s="29" t="s">
        <v>45</v>
      </c>
      <c r="M131" s="29" t="s">
        <v>25</v>
      </c>
      <c r="N131" s="29" t="s">
        <v>26</v>
      </c>
      <c r="O131" s="31" t="s">
        <v>27</v>
      </c>
      <c r="P131" s="29" t="s">
        <v>62</v>
      </c>
      <c r="Q131" s="29" t="s">
        <v>63</v>
      </c>
      <c r="R131" s="26"/>
      <c r="S131" s="19"/>
      <c r="T131" s="19" t="s">
        <v>350</v>
      </c>
    </row>
    <row r="132" spans="1:20" s="2" customFormat="1" ht="12" customHeight="1">
      <c r="A132" s="18">
        <v>125</v>
      </c>
      <c r="B132" s="32"/>
      <c r="C132" s="33" t="s">
        <v>519</v>
      </c>
      <c r="D132" s="34" t="s">
        <v>526</v>
      </c>
      <c r="E132" s="35"/>
      <c r="F132" s="36" t="s">
        <v>527</v>
      </c>
      <c r="G132" s="37" t="s">
        <v>21</v>
      </c>
      <c r="H132" s="35" t="s">
        <v>44</v>
      </c>
      <c r="I132" s="35" t="s">
        <v>23</v>
      </c>
      <c r="J132" s="57">
        <v>43451</v>
      </c>
      <c r="K132" s="58">
        <f t="shared" ca="1" si="1"/>
        <v>7</v>
      </c>
      <c r="L132" s="35" t="s">
        <v>45</v>
      </c>
      <c r="M132" s="35" t="s">
        <v>25</v>
      </c>
      <c r="N132" s="35" t="s">
        <v>26</v>
      </c>
      <c r="O132" s="37" t="s">
        <v>27</v>
      </c>
      <c r="P132" s="35" t="s">
        <v>62</v>
      </c>
      <c r="Q132" s="29" t="s">
        <v>63</v>
      </c>
      <c r="R132" s="32"/>
      <c r="S132" s="19"/>
      <c r="T132" s="19" t="s">
        <v>350</v>
      </c>
    </row>
    <row r="133" spans="1:20" s="2" customFormat="1" ht="12" customHeight="1">
      <c r="A133" s="13">
        <v>126</v>
      </c>
      <c r="B133" s="25" t="s">
        <v>528</v>
      </c>
      <c r="C133" s="22" t="s">
        <v>529</v>
      </c>
      <c r="D133" s="22" t="s">
        <v>530</v>
      </c>
      <c r="E133" s="39" t="s">
        <v>531</v>
      </c>
      <c r="F133" s="39" t="s">
        <v>531</v>
      </c>
      <c r="G133" s="24" t="s">
        <v>21</v>
      </c>
      <c r="H133" s="25" t="s">
        <v>22</v>
      </c>
      <c r="I133" s="69" t="s">
        <v>119</v>
      </c>
      <c r="J133" s="51">
        <v>34298</v>
      </c>
      <c r="K133" s="52">
        <f t="shared" ca="1" si="1"/>
        <v>32</v>
      </c>
      <c r="L133" s="25" t="s">
        <v>24</v>
      </c>
      <c r="M133" s="25" t="s">
        <v>25</v>
      </c>
      <c r="N133" s="25" t="s">
        <v>26</v>
      </c>
      <c r="O133" s="24" t="s">
        <v>27</v>
      </c>
      <c r="P133" s="25" t="s">
        <v>98</v>
      </c>
      <c r="Q133" s="25" t="s">
        <v>29</v>
      </c>
      <c r="R133" s="20" t="s">
        <v>30</v>
      </c>
      <c r="S133" s="19"/>
      <c r="T133" s="19" t="s">
        <v>350</v>
      </c>
    </row>
    <row r="134" spans="1:20" s="2" customFormat="1" ht="12" customHeight="1">
      <c r="A134" s="13">
        <v>127</v>
      </c>
      <c r="B134" s="29"/>
      <c r="C134" s="28" t="s">
        <v>529</v>
      </c>
      <c r="D134" s="28" t="s">
        <v>532</v>
      </c>
      <c r="E134" s="29"/>
      <c r="F134" s="30" t="s">
        <v>533</v>
      </c>
      <c r="G134" s="31" t="s">
        <v>39</v>
      </c>
      <c r="H134" s="29" t="s">
        <v>40</v>
      </c>
      <c r="I134" s="70" t="s">
        <v>23</v>
      </c>
      <c r="J134" s="54">
        <v>35923</v>
      </c>
      <c r="K134" s="55">
        <f t="shared" ca="1" si="1"/>
        <v>28</v>
      </c>
      <c r="L134" s="29" t="s">
        <v>24</v>
      </c>
      <c r="M134" s="29" t="s">
        <v>25</v>
      </c>
      <c r="N134" s="29" t="s">
        <v>26</v>
      </c>
      <c r="O134" s="31" t="s">
        <v>27</v>
      </c>
      <c r="P134" s="25" t="s">
        <v>98</v>
      </c>
      <c r="Q134" s="29" t="s">
        <v>42</v>
      </c>
      <c r="R134" s="26"/>
      <c r="S134" s="19"/>
      <c r="T134" s="19" t="s">
        <v>350</v>
      </c>
    </row>
    <row r="135" spans="1:20" s="2" customFormat="1" ht="12" customHeight="1">
      <c r="A135" s="18">
        <v>128</v>
      </c>
      <c r="B135" s="29"/>
      <c r="C135" s="28" t="s">
        <v>529</v>
      </c>
      <c r="D135" s="28" t="s">
        <v>534</v>
      </c>
      <c r="E135" s="29"/>
      <c r="F135" s="30" t="s">
        <v>535</v>
      </c>
      <c r="G135" s="31" t="s">
        <v>39</v>
      </c>
      <c r="H135" s="29" t="s">
        <v>44</v>
      </c>
      <c r="I135" s="70" t="s">
        <v>119</v>
      </c>
      <c r="J135" s="54">
        <v>41624</v>
      </c>
      <c r="K135" s="55">
        <f t="shared" ca="1" si="1"/>
        <v>12</v>
      </c>
      <c r="L135" s="29" t="s">
        <v>45</v>
      </c>
      <c r="M135" s="29" t="s">
        <v>25</v>
      </c>
      <c r="N135" s="29" t="s">
        <v>26</v>
      </c>
      <c r="O135" s="31" t="s">
        <v>27</v>
      </c>
      <c r="P135" s="29" t="s">
        <v>61</v>
      </c>
      <c r="Q135" s="29" t="s">
        <v>50</v>
      </c>
      <c r="R135" s="26"/>
      <c r="S135" s="19"/>
      <c r="T135" s="19" t="s">
        <v>350</v>
      </c>
    </row>
    <row r="136" spans="1:20" s="2" customFormat="1" ht="12" customHeight="1">
      <c r="A136" s="13">
        <v>129</v>
      </c>
      <c r="B136" s="29"/>
      <c r="C136" s="28" t="s">
        <v>529</v>
      </c>
      <c r="D136" s="28" t="s">
        <v>536</v>
      </c>
      <c r="E136" s="29"/>
      <c r="F136" s="30" t="s">
        <v>537</v>
      </c>
      <c r="G136" s="31" t="s">
        <v>21</v>
      </c>
      <c r="H136" s="29" t="s">
        <v>44</v>
      </c>
      <c r="I136" s="70" t="s">
        <v>23</v>
      </c>
      <c r="J136" s="54">
        <v>43090</v>
      </c>
      <c r="K136" s="55">
        <f t="shared" ca="1" si="1"/>
        <v>8</v>
      </c>
      <c r="L136" s="29" t="s">
        <v>45</v>
      </c>
      <c r="M136" s="29" t="s">
        <v>25</v>
      </c>
      <c r="N136" s="29" t="s">
        <v>26</v>
      </c>
      <c r="O136" s="31" t="s">
        <v>27</v>
      </c>
      <c r="P136" s="35" t="s">
        <v>62</v>
      </c>
      <c r="Q136" s="29" t="s">
        <v>63</v>
      </c>
      <c r="R136" s="26"/>
      <c r="S136" s="19"/>
      <c r="T136" s="19" t="s">
        <v>350</v>
      </c>
    </row>
    <row r="137" spans="1:20" s="2" customFormat="1" ht="12" customHeight="1">
      <c r="A137" s="13">
        <v>130</v>
      </c>
      <c r="B137" s="35"/>
      <c r="C137" s="34" t="s">
        <v>529</v>
      </c>
      <c r="D137" s="34" t="s">
        <v>538</v>
      </c>
      <c r="E137" s="35"/>
      <c r="F137" s="36" t="s">
        <v>539</v>
      </c>
      <c r="G137" s="37" t="s">
        <v>39</v>
      </c>
      <c r="H137" s="35" t="s">
        <v>44</v>
      </c>
      <c r="I137" s="71" t="s">
        <v>23</v>
      </c>
      <c r="J137" s="57">
        <v>43913</v>
      </c>
      <c r="K137" s="58">
        <f t="shared" ca="1" si="1"/>
        <v>6</v>
      </c>
      <c r="L137" s="35" t="s">
        <v>45</v>
      </c>
      <c r="M137" s="35" t="s">
        <v>25</v>
      </c>
      <c r="N137" s="35" t="s">
        <v>26</v>
      </c>
      <c r="O137" s="37" t="s">
        <v>27</v>
      </c>
      <c r="P137" s="35" t="s">
        <v>62</v>
      </c>
      <c r="Q137" s="35" t="s">
        <v>63</v>
      </c>
      <c r="R137" s="32"/>
      <c r="S137" s="19"/>
      <c r="T137" s="19" t="s">
        <v>350</v>
      </c>
    </row>
    <row r="138" spans="1:20" s="2" customFormat="1" ht="12" customHeight="1">
      <c r="A138" s="18">
        <v>131</v>
      </c>
      <c r="B138" s="20" t="s">
        <v>540</v>
      </c>
      <c r="C138" s="22" t="s">
        <v>541</v>
      </c>
      <c r="D138" s="22" t="s">
        <v>542</v>
      </c>
      <c r="E138" s="39" t="s">
        <v>543</v>
      </c>
      <c r="F138" s="39" t="s">
        <v>543</v>
      </c>
      <c r="G138" s="24" t="s">
        <v>39</v>
      </c>
      <c r="H138" s="50" t="s">
        <v>40</v>
      </c>
      <c r="I138" s="69" t="s">
        <v>23</v>
      </c>
      <c r="J138" s="51">
        <v>24519</v>
      </c>
      <c r="K138" s="52">
        <f t="shared" ca="1" si="1"/>
        <v>59</v>
      </c>
      <c r="L138" s="25" t="s">
        <v>24</v>
      </c>
      <c r="M138" s="25" t="s">
        <v>25</v>
      </c>
      <c r="N138" s="25" t="s">
        <v>26</v>
      </c>
      <c r="O138" s="24" t="s">
        <v>27</v>
      </c>
      <c r="P138" s="25" t="s">
        <v>34</v>
      </c>
      <c r="Q138" s="25" t="s">
        <v>42</v>
      </c>
      <c r="R138" s="20" t="s">
        <v>30</v>
      </c>
      <c r="S138" s="19"/>
      <c r="T138" s="19" t="s">
        <v>350</v>
      </c>
    </row>
    <row r="139" spans="1:20" s="2" customFormat="1" ht="12" customHeight="1">
      <c r="A139" s="13">
        <v>132</v>
      </c>
      <c r="B139" s="26"/>
      <c r="C139" s="28" t="s">
        <v>172</v>
      </c>
      <c r="D139" s="28" t="s">
        <v>172</v>
      </c>
      <c r="E139" s="29"/>
      <c r="F139" s="30" t="s">
        <v>544</v>
      </c>
      <c r="G139" s="31" t="s">
        <v>21</v>
      </c>
      <c r="H139" s="53" t="s">
        <v>545</v>
      </c>
      <c r="I139" s="31" t="s">
        <v>172</v>
      </c>
      <c r="J139" s="31" t="s">
        <v>172</v>
      </c>
      <c r="K139" s="31">
        <v>57</v>
      </c>
      <c r="L139" s="29" t="s">
        <v>24</v>
      </c>
      <c r="M139" s="29" t="s">
        <v>25</v>
      </c>
      <c r="N139" s="29" t="s">
        <v>26</v>
      </c>
      <c r="O139" s="31" t="s">
        <v>27</v>
      </c>
      <c r="P139" s="31" t="s">
        <v>172</v>
      </c>
      <c r="Q139" s="31" t="s">
        <v>172</v>
      </c>
      <c r="R139" s="26"/>
      <c r="S139" s="19"/>
      <c r="T139" s="19" t="s">
        <v>350</v>
      </c>
    </row>
    <row r="140" spans="1:20" s="2" customFormat="1" ht="12" customHeight="1">
      <c r="A140" s="13">
        <v>133</v>
      </c>
      <c r="B140" s="26"/>
      <c r="C140" s="28" t="s">
        <v>172</v>
      </c>
      <c r="D140" s="28" t="s">
        <v>172</v>
      </c>
      <c r="E140" s="29"/>
      <c r="F140" s="30" t="s">
        <v>546</v>
      </c>
      <c r="G140" s="31" t="s">
        <v>21</v>
      </c>
      <c r="H140" s="31" t="s">
        <v>172</v>
      </c>
      <c r="I140" s="31" t="s">
        <v>172</v>
      </c>
      <c r="J140" s="31" t="s">
        <v>172</v>
      </c>
      <c r="K140" s="31">
        <v>35</v>
      </c>
      <c r="L140" s="29" t="s">
        <v>45</v>
      </c>
      <c r="M140" s="29" t="s">
        <v>25</v>
      </c>
      <c r="N140" s="29" t="s">
        <v>26</v>
      </c>
      <c r="O140" s="31" t="s">
        <v>27</v>
      </c>
      <c r="P140" s="31" t="s">
        <v>172</v>
      </c>
      <c r="Q140" s="31" t="s">
        <v>172</v>
      </c>
      <c r="R140" s="26"/>
      <c r="S140" s="19"/>
      <c r="T140" s="19" t="s">
        <v>350</v>
      </c>
    </row>
    <row r="141" spans="1:20" s="2" customFormat="1" ht="12" customHeight="1">
      <c r="A141" s="18">
        <v>134</v>
      </c>
      <c r="B141" s="32"/>
      <c r="C141" s="34" t="s">
        <v>172</v>
      </c>
      <c r="D141" s="34" t="s">
        <v>172</v>
      </c>
      <c r="E141" s="35"/>
      <c r="F141" s="36" t="s">
        <v>547</v>
      </c>
      <c r="G141" s="37" t="s">
        <v>39</v>
      </c>
      <c r="H141" s="37" t="s">
        <v>172</v>
      </c>
      <c r="I141" s="37" t="s">
        <v>172</v>
      </c>
      <c r="J141" s="37" t="s">
        <v>172</v>
      </c>
      <c r="K141" s="37">
        <v>30</v>
      </c>
      <c r="L141" s="35" t="s">
        <v>45</v>
      </c>
      <c r="M141" s="35" t="s">
        <v>25</v>
      </c>
      <c r="N141" s="35" t="s">
        <v>26</v>
      </c>
      <c r="O141" s="37" t="s">
        <v>27</v>
      </c>
      <c r="P141" s="37" t="s">
        <v>172</v>
      </c>
      <c r="Q141" s="37" t="s">
        <v>172</v>
      </c>
      <c r="R141" s="32"/>
      <c r="S141" s="19"/>
      <c r="T141" s="19" t="s">
        <v>350</v>
      </c>
    </row>
    <row r="142" spans="1:20" s="2" customFormat="1" ht="12" customHeight="1">
      <c r="A142" s="13">
        <v>135</v>
      </c>
      <c r="B142" s="20" t="s">
        <v>233</v>
      </c>
      <c r="C142" s="41" t="s">
        <v>548</v>
      </c>
      <c r="D142" s="41" t="s">
        <v>549</v>
      </c>
      <c r="E142" s="38" t="s">
        <v>234</v>
      </c>
      <c r="F142" s="38" t="s">
        <v>234</v>
      </c>
      <c r="G142" s="24" t="s">
        <v>21</v>
      </c>
      <c r="H142" s="25" t="s">
        <v>22</v>
      </c>
      <c r="I142" s="25" t="s">
        <v>23</v>
      </c>
      <c r="J142" s="51">
        <v>27080</v>
      </c>
      <c r="K142" s="52">
        <f t="shared" ref="K142:K150" ca="1" si="4">INT((TODAY()-J142)/365)</f>
        <v>52</v>
      </c>
      <c r="L142" s="25" t="s">
        <v>24</v>
      </c>
      <c r="M142" s="25" t="s">
        <v>25</v>
      </c>
      <c r="N142" s="25" t="s">
        <v>26</v>
      </c>
      <c r="O142" s="24" t="s">
        <v>27</v>
      </c>
      <c r="P142" s="25" t="s">
        <v>34</v>
      </c>
      <c r="Q142" s="25" t="s">
        <v>35</v>
      </c>
      <c r="R142" s="20" t="s">
        <v>36</v>
      </c>
      <c r="S142" s="19"/>
      <c r="T142" s="19" t="s">
        <v>353</v>
      </c>
    </row>
    <row r="143" spans="1:20" s="2" customFormat="1" ht="12" customHeight="1">
      <c r="A143" s="13">
        <v>136</v>
      </c>
      <c r="B143" s="26"/>
      <c r="C143" s="42" t="s">
        <v>548</v>
      </c>
      <c r="D143" s="42" t="s">
        <v>550</v>
      </c>
      <c r="E143" s="29"/>
      <c r="F143" s="29" t="s">
        <v>235</v>
      </c>
      <c r="G143" s="31" t="s">
        <v>39</v>
      </c>
      <c r="H143" s="29" t="s">
        <v>40</v>
      </c>
      <c r="I143" s="29" t="s">
        <v>119</v>
      </c>
      <c r="J143" s="54">
        <v>27694</v>
      </c>
      <c r="K143" s="55">
        <f t="shared" ca="1" si="4"/>
        <v>50</v>
      </c>
      <c r="L143" s="29" t="s">
        <v>24</v>
      </c>
      <c r="M143" s="29" t="s">
        <v>25</v>
      </c>
      <c r="N143" s="29" t="s">
        <v>26</v>
      </c>
      <c r="O143" s="31" t="s">
        <v>27</v>
      </c>
      <c r="P143" s="29" t="s">
        <v>126</v>
      </c>
      <c r="Q143" s="29" t="s">
        <v>42</v>
      </c>
      <c r="R143" s="26"/>
      <c r="S143" s="19"/>
      <c r="T143" s="19" t="s">
        <v>353</v>
      </c>
    </row>
    <row r="144" spans="1:20" s="2" customFormat="1" ht="12" customHeight="1">
      <c r="A144" s="18">
        <v>137</v>
      </c>
      <c r="B144" s="26"/>
      <c r="C144" s="42" t="s">
        <v>548</v>
      </c>
      <c r="D144" s="42" t="s">
        <v>551</v>
      </c>
      <c r="E144" s="29"/>
      <c r="F144" s="29" t="s">
        <v>236</v>
      </c>
      <c r="G144" s="31" t="s">
        <v>21</v>
      </c>
      <c r="H144" s="29" t="s">
        <v>44</v>
      </c>
      <c r="I144" s="29" t="s">
        <v>119</v>
      </c>
      <c r="J144" s="54">
        <v>36209</v>
      </c>
      <c r="K144" s="55">
        <f t="shared" ca="1" si="4"/>
        <v>27</v>
      </c>
      <c r="L144" s="29" t="s">
        <v>45</v>
      </c>
      <c r="M144" s="29" t="s">
        <v>25</v>
      </c>
      <c r="N144" s="29" t="s">
        <v>26</v>
      </c>
      <c r="O144" s="31" t="s">
        <v>27</v>
      </c>
      <c r="P144" s="29" t="s">
        <v>34</v>
      </c>
      <c r="Q144" s="29" t="s">
        <v>35</v>
      </c>
      <c r="R144" s="26"/>
      <c r="S144" s="19"/>
      <c r="T144" s="19" t="s">
        <v>353</v>
      </c>
    </row>
    <row r="145" spans="1:20" s="2" customFormat="1" ht="12" customHeight="1">
      <c r="A145" s="13">
        <v>138</v>
      </c>
      <c r="B145" s="32"/>
      <c r="C145" s="43" t="s">
        <v>548</v>
      </c>
      <c r="D145" s="43" t="s">
        <v>552</v>
      </c>
      <c r="E145" s="35"/>
      <c r="F145" s="35" t="s">
        <v>237</v>
      </c>
      <c r="G145" s="37" t="s">
        <v>21</v>
      </c>
      <c r="H145" s="35" t="s">
        <v>44</v>
      </c>
      <c r="I145" s="35" t="s">
        <v>23</v>
      </c>
      <c r="J145" s="57">
        <v>38085</v>
      </c>
      <c r="K145" s="58">
        <f t="shared" ca="1" si="4"/>
        <v>22</v>
      </c>
      <c r="L145" s="35" t="s">
        <v>45</v>
      </c>
      <c r="M145" s="35" t="s">
        <v>25</v>
      </c>
      <c r="N145" s="35" t="s">
        <v>26</v>
      </c>
      <c r="O145" s="37" t="s">
        <v>27</v>
      </c>
      <c r="P145" s="35" t="s">
        <v>91</v>
      </c>
      <c r="Q145" s="35" t="s">
        <v>50</v>
      </c>
      <c r="R145" s="26"/>
      <c r="S145" s="19"/>
      <c r="T145" s="19" t="s">
        <v>353</v>
      </c>
    </row>
    <row r="146" spans="1:20" s="2" customFormat="1" ht="12" customHeight="1">
      <c r="A146" s="13">
        <v>139</v>
      </c>
      <c r="B146" s="64" t="s">
        <v>238</v>
      </c>
      <c r="C146" s="67" t="s">
        <v>172</v>
      </c>
      <c r="D146" s="67" t="s">
        <v>172</v>
      </c>
      <c r="E146" s="66" t="s">
        <v>58</v>
      </c>
      <c r="F146" s="66" t="s">
        <v>172</v>
      </c>
      <c r="G146" s="66"/>
      <c r="H146" s="66" t="s">
        <v>172</v>
      </c>
      <c r="I146" s="66" t="s">
        <v>172</v>
      </c>
      <c r="J146" s="66" t="s">
        <v>172</v>
      </c>
      <c r="K146" s="66"/>
      <c r="L146" s="66" t="s">
        <v>172</v>
      </c>
      <c r="M146" s="66" t="s">
        <v>172</v>
      </c>
      <c r="N146" s="66" t="s">
        <v>172</v>
      </c>
      <c r="O146" s="66" t="s">
        <v>172</v>
      </c>
      <c r="P146" s="66" t="s">
        <v>172</v>
      </c>
      <c r="Q146" s="66" t="s">
        <v>172</v>
      </c>
      <c r="R146" s="64" t="s">
        <v>58</v>
      </c>
      <c r="S146" s="19"/>
      <c r="T146" s="66" t="s">
        <v>172</v>
      </c>
    </row>
    <row r="147" spans="1:20" s="2" customFormat="1" ht="12" customHeight="1">
      <c r="A147" s="18">
        <v>140</v>
      </c>
      <c r="B147" s="20" t="s">
        <v>239</v>
      </c>
      <c r="C147" s="41" t="s">
        <v>553</v>
      </c>
      <c r="D147" s="41" t="s">
        <v>554</v>
      </c>
      <c r="E147" s="38" t="s">
        <v>240</v>
      </c>
      <c r="F147" s="38" t="s">
        <v>240</v>
      </c>
      <c r="G147" s="24" t="s">
        <v>21</v>
      </c>
      <c r="H147" s="25" t="s">
        <v>22</v>
      </c>
      <c r="I147" s="25" t="s">
        <v>97</v>
      </c>
      <c r="J147" s="51">
        <v>27486</v>
      </c>
      <c r="K147" s="52">
        <f t="shared" ca="1" si="4"/>
        <v>51</v>
      </c>
      <c r="L147" s="25" t="s">
        <v>24</v>
      </c>
      <c r="M147" s="25" t="s">
        <v>25</v>
      </c>
      <c r="N147" s="25" t="s">
        <v>26</v>
      </c>
      <c r="O147" s="24" t="s">
        <v>27</v>
      </c>
      <c r="P147" s="25" t="s">
        <v>34</v>
      </c>
      <c r="Q147" s="25" t="s">
        <v>35</v>
      </c>
      <c r="R147" s="20" t="s">
        <v>36</v>
      </c>
      <c r="S147" s="19"/>
      <c r="T147" s="19" t="s">
        <v>353</v>
      </c>
    </row>
    <row r="148" spans="1:20" s="2" customFormat="1" ht="12" customHeight="1">
      <c r="A148" s="13">
        <v>141</v>
      </c>
      <c r="B148" s="26"/>
      <c r="C148" s="42" t="s">
        <v>553</v>
      </c>
      <c r="D148" s="42" t="s">
        <v>555</v>
      </c>
      <c r="E148" s="29"/>
      <c r="F148" s="29" t="s">
        <v>241</v>
      </c>
      <c r="G148" s="31" t="s">
        <v>39</v>
      </c>
      <c r="H148" s="29" t="s">
        <v>40</v>
      </c>
      <c r="I148" s="29" t="s">
        <v>23</v>
      </c>
      <c r="J148" s="54">
        <v>28451</v>
      </c>
      <c r="K148" s="55">
        <f t="shared" ca="1" si="4"/>
        <v>48</v>
      </c>
      <c r="L148" s="29" t="s">
        <v>24</v>
      </c>
      <c r="M148" s="29" t="s">
        <v>25</v>
      </c>
      <c r="N148" s="29" t="s">
        <v>26</v>
      </c>
      <c r="O148" s="31" t="s">
        <v>27</v>
      </c>
      <c r="P148" s="29" t="s">
        <v>34</v>
      </c>
      <c r="Q148" s="29" t="s">
        <v>42</v>
      </c>
      <c r="R148" s="26"/>
      <c r="S148" s="19"/>
      <c r="T148" s="19" t="s">
        <v>353</v>
      </c>
    </row>
    <row r="149" spans="1:20" s="2" customFormat="1" ht="12" customHeight="1">
      <c r="A149" s="13">
        <v>142</v>
      </c>
      <c r="B149" s="26"/>
      <c r="C149" s="42" t="s">
        <v>553</v>
      </c>
      <c r="D149" s="42" t="s">
        <v>556</v>
      </c>
      <c r="E149" s="29"/>
      <c r="F149" s="29" t="s">
        <v>242</v>
      </c>
      <c r="G149" s="31" t="s">
        <v>39</v>
      </c>
      <c r="H149" s="29" t="s">
        <v>44</v>
      </c>
      <c r="I149" s="29" t="s">
        <v>23</v>
      </c>
      <c r="J149" s="54">
        <v>38313</v>
      </c>
      <c r="K149" s="55">
        <f t="shared" ca="1" si="4"/>
        <v>21</v>
      </c>
      <c r="L149" s="29" t="s">
        <v>45</v>
      </c>
      <c r="M149" s="29" t="s">
        <v>25</v>
      </c>
      <c r="N149" s="29" t="s">
        <v>26</v>
      </c>
      <c r="O149" s="31" t="s">
        <v>27</v>
      </c>
      <c r="P149" s="29" t="s">
        <v>49</v>
      </c>
      <c r="Q149" s="29" t="s">
        <v>50</v>
      </c>
      <c r="R149" s="26"/>
      <c r="S149" s="19"/>
      <c r="T149" s="19" t="s">
        <v>353</v>
      </c>
    </row>
    <row r="150" spans="1:20" s="2" customFormat="1" ht="12" customHeight="1">
      <c r="A150" s="18">
        <v>143</v>
      </c>
      <c r="B150" s="32"/>
      <c r="C150" s="43" t="s">
        <v>553</v>
      </c>
      <c r="D150" s="43" t="s">
        <v>557</v>
      </c>
      <c r="E150" s="35"/>
      <c r="F150" s="35" t="s">
        <v>243</v>
      </c>
      <c r="G150" s="37" t="s">
        <v>39</v>
      </c>
      <c r="H150" s="35" t="s">
        <v>44</v>
      </c>
      <c r="I150" s="35" t="s">
        <v>23</v>
      </c>
      <c r="J150" s="57">
        <v>39422</v>
      </c>
      <c r="K150" s="58">
        <f t="shared" ca="1" si="4"/>
        <v>18</v>
      </c>
      <c r="L150" s="35" t="s">
        <v>45</v>
      </c>
      <c r="M150" s="35" t="s">
        <v>25</v>
      </c>
      <c r="N150" s="35" t="s">
        <v>26</v>
      </c>
      <c r="O150" s="37" t="s">
        <v>27</v>
      </c>
      <c r="P150" s="35" t="s">
        <v>61</v>
      </c>
      <c r="Q150" s="35" t="s">
        <v>50</v>
      </c>
      <c r="R150" s="32"/>
      <c r="S150" s="19"/>
      <c r="T150" s="19" t="s">
        <v>353</v>
      </c>
    </row>
    <row r="151" spans="1:20" s="2" customFormat="1" ht="12" customHeight="1">
      <c r="A151" s="13">
        <v>144</v>
      </c>
      <c r="B151" s="20" t="s">
        <v>244</v>
      </c>
      <c r="C151" s="21" t="s">
        <v>558</v>
      </c>
      <c r="D151" s="22" t="s">
        <v>559</v>
      </c>
      <c r="E151" s="39" t="s">
        <v>245</v>
      </c>
      <c r="F151" s="39" t="s">
        <v>245</v>
      </c>
      <c r="G151" s="24" t="s">
        <v>21</v>
      </c>
      <c r="H151" s="25" t="s">
        <v>22</v>
      </c>
      <c r="I151" s="25" t="s">
        <v>48</v>
      </c>
      <c r="J151" s="51">
        <v>29078</v>
      </c>
      <c r="K151" s="52">
        <f t="shared" ca="1" si="1"/>
        <v>47</v>
      </c>
      <c r="L151" s="25" t="s">
        <v>24</v>
      </c>
      <c r="M151" s="25" t="s">
        <v>25</v>
      </c>
      <c r="N151" s="25" t="s">
        <v>26</v>
      </c>
      <c r="O151" s="24" t="s">
        <v>27</v>
      </c>
      <c r="P151" s="25" t="s">
        <v>34</v>
      </c>
      <c r="Q151" s="25" t="s">
        <v>35</v>
      </c>
      <c r="R151" s="20" t="s">
        <v>36</v>
      </c>
      <c r="S151" s="19"/>
      <c r="T151" s="19" t="s">
        <v>353</v>
      </c>
    </row>
    <row r="152" spans="1:20" s="2" customFormat="1" ht="12" customHeight="1">
      <c r="A152" s="13">
        <v>145</v>
      </c>
      <c r="B152" s="26"/>
      <c r="C152" s="27" t="s">
        <v>558</v>
      </c>
      <c r="D152" s="28" t="s">
        <v>560</v>
      </c>
      <c r="E152" s="29"/>
      <c r="F152" s="30" t="s">
        <v>246</v>
      </c>
      <c r="G152" s="31" t="s">
        <v>39</v>
      </c>
      <c r="H152" s="29" t="s">
        <v>40</v>
      </c>
      <c r="I152" s="29" t="s">
        <v>48</v>
      </c>
      <c r="J152" s="54">
        <v>30789</v>
      </c>
      <c r="K152" s="55">
        <f t="shared" ca="1" si="1"/>
        <v>42</v>
      </c>
      <c r="L152" s="29" t="s">
        <v>24</v>
      </c>
      <c r="M152" s="29" t="s">
        <v>25</v>
      </c>
      <c r="N152" s="29" t="s">
        <v>26</v>
      </c>
      <c r="O152" s="31" t="s">
        <v>27</v>
      </c>
      <c r="P152" s="29" t="s">
        <v>126</v>
      </c>
      <c r="Q152" s="29" t="s">
        <v>35</v>
      </c>
      <c r="R152" s="26"/>
      <c r="S152" s="19"/>
      <c r="T152" s="19" t="s">
        <v>353</v>
      </c>
    </row>
    <row r="153" spans="1:20" s="2" customFormat="1" ht="12" customHeight="1">
      <c r="A153" s="18">
        <v>146</v>
      </c>
      <c r="B153" s="26"/>
      <c r="C153" s="27" t="s">
        <v>558</v>
      </c>
      <c r="D153" s="28" t="s">
        <v>561</v>
      </c>
      <c r="E153" s="29"/>
      <c r="F153" s="30" t="s">
        <v>247</v>
      </c>
      <c r="G153" s="31" t="s">
        <v>39</v>
      </c>
      <c r="H153" s="29" t="s">
        <v>44</v>
      </c>
      <c r="I153" s="29" t="s">
        <v>48</v>
      </c>
      <c r="J153" s="54">
        <v>37245</v>
      </c>
      <c r="K153" s="55">
        <f t="shared" ca="1" si="1"/>
        <v>24</v>
      </c>
      <c r="L153" s="29" t="s">
        <v>45</v>
      </c>
      <c r="M153" s="29" t="s">
        <v>25</v>
      </c>
      <c r="N153" s="29" t="s">
        <v>26</v>
      </c>
      <c r="O153" s="31" t="s">
        <v>27</v>
      </c>
      <c r="P153" s="29" t="s">
        <v>248</v>
      </c>
      <c r="Q153" s="29" t="s">
        <v>50</v>
      </c>
      <c r="R153" s="26"/>
      <c r="S153" s="19"/>
      <c r="T153" s="19" t="s">
        <v>353</v>
      </c>
    </row>
    <row r="154" spans="1:20" s="2" customFormat="1" ht="12" customHeight="1">
      <c r="A154" s="13">
        <v>147</v>
      </c>
      <c r="B154" s="32"/>
      <c r="C154" s="33" t="s">
        <v>558</v>
      </c>
      <c r="D154" s="34" t="s">
        <v>562</v>
      </c>
      <c r="E154" s="35"/>
      <c r="F154" s="36" t="s">
        <v>249</v>
      </c>
      <c r="G154" s="37" t="s">
        <v>39</v>
      </c>
      <c r="H154" s="35" t="s">
        <v>44</v>
      </c>
      <c r="I154" s="35" t="s">
        <v>23</v>
      </c>
      <c r="J154" s="57">
        <v>42429</v>
      </c>
      <c r="K154" s="58">
        <f t="shared" ca="1" si="1"/>
        <v>10</v>
      </c>
      <c r="L154" s="35" t="s">
        <v>45</v>
      </c>
      <c r="M154" s="35" t="s">
        <v>25</v>
      </c>
      <c r="N154" s="35" t="s">
        <v>26</v>
      </c>
      <c r="O154" s="37" t="s">
        <v>27</v>
      </c>
      <c r="P154" s="35" t="s">
        <v>250</v>
      </c>
      <c r="Q154" s="35" t="s">
        <v>50</v>
      </c>
      <c r="R154" s="32"/>
      <c r="S154" s="19"/>
      <c r="T154" s="19" t="s">
        <v>353</v>
      </c>
    </row>
    <row r="155" spans="1:20" s="2" customFormat="1" ht="12" customHeight="1">
      <c r="A155" s="13">
        <v>148</v>
      </c>
      <c r="B155" s="20" t="s">
        <v>251</v>
      </c>
      <c r="C155" s="21" t="s">
        <v>563</v>
      </c>
      <c r="D155" s="22" t="s">
        <v>564</v>
      </c>
      <c r="E155" s="39" t="s">
        <v>565</v>
      </c>
      <c r="F155" s="39" t="s">
        <v>565</v>
      </c>
      <c r="G155" s="24" t="s">
        <v>21</v>
      </c>
      <c r="H155" s="25" t="s">
        <v>22</v>
      </c>
      <c r="I155" s="25" t="s">
        <v>23</v>
      </c>
      <c r="J155" s="51">
        <v>34143</v>
      </c>
      <c r="K155" s="52">
        <f t="shared" ca="1" si="1"/>
        <v>33</v>
      </c>
      <c r="L155" s="25" t="s">
        <v>24</v>
      </c>
      <c r="M155" s="25" t="s">
        <v>25</v>
      </c>
      <c r="N155" s="25" t="s">
        <v>26</v>
      </c>
      <c r="O155" s="24" t="s">
        <v>27</v>
      </c>
      <c r="P155" s="25" t="s">
        <v>34</v>
      </c>
      <c r="Q155" s="25" t="s">
        <v>35</v>
      </c>
      <c r="R155" s="19" t="s">
        <v>30</v>
      </c>
      <c r="S155" s="19"/>
      <c r="T155" s="19" t="s">
        <v>350</v>
      </c>
    </row>
    <row r="156" spans="1:20" s="2" customFormat="1" ht="12" customHeight="1">
      <c r="A156" s="18">
        <v>149</v>
      </c>
      <c r="B156" s="26"/>
      <c r="C156" s="27" t="s">
        <v>563</v>
      </c>
      <c r="D156" s="28" t="s">
        <v>566</v>
      </c>
      <c r="E156" s="29"/>
      <c r="F156" s="30" t="s">
        <v>567</v>
      </c>
      <c r="G156" s="31" t="s">
        <v>39</v>
      </c>
      <c r="H156" s="29" t="s">
        <v>40</v>
      </c>
      <c r="I156" s="29" t="s">
        <v>23</v>
      </c>
      <c r="J156" s="54">
        <v>33708</v>
      </c>
      <c r="K156" s="55">
        <f t="shared" ca="1" si="1"/>
        <v>34</v>
      </c>
      <c r="L156" s="29" t="s">
        <v>24</v>
      </c>
      <c r="M156" s="29" t="s">
        <v>25</v>
      </c>
      <c r="N156" s="29" t="s">
        <v>26</v>
      </c>
      <c r="O156" s="31" t="s">
        <v>27</v>
      </c>
      <c r="P156" s="29" t="s">
        <v>34</v>
      </c>
      <c r="Q156" s="29" t="s">
        <v>42</v>
      </c>
      <c r="R156" s="19"/>
      <c r="S156" s="19"/>
      <c r="T156" s="19" t="s">
        <v>350</v>
      </c>
    </row>
    <row r="157" spans="1:20" s="2" customFormat="1" ht="12" customHeight="1">
      <c r="A157" s="13">
        <v>150</v>
      </c>
      <c r="B157" s="32"/>
      <c r="C157" s="33" t="s">
        <v>563</v>
      </c>
      <c r="D157" s="34" t="s">
        <v>568</v>
      </c>
      <c r="E157" s="35"/>
      <c r="F157" s="36" t="s">
        <v>569</v>
      </c>
      <c r="G157" s="37" t="s">
        <v>39</v>
      </c>
      <c r="H157" s="35" t="s">
        <v>44</v>
      </c>
      <c r="I157" s="35" t="s">
        <v>23</v>
      </c>
      <c r="J157" s="57">
        <v>42786</v>
      </c>
      <c r="K157" s="58">
        <f t="shared" ca="1" si="1"/>
        <v>9</v>
      </c>
      <c r="L157" s="35" t="s">
        <v>45</v>
      </c>
      <c r="M157" s="35" t="s">
        <v>25</v>
      </c>
      <c r="N157" s="35" t="s">
        <v>26</v>
      </c>
      <c r="O157" s="37" t="s">
        <v>27</v>
      </c>
      <c r="P157" s="35" t="s">
        <v>62</v>
      </c>
      <c r="Q157" s="35" t="s">
        <v>63</v>
      </c>
      <c r="R157" s="19"/>
      <c r="S157" s="19"/>
      <c r="T157" s="19" t="s">
        <v>350</v>
      </c>
    </row>
    <row r="158" spans="1:20" s="2" customFormat="1" ht="12" customHeight="1">
      <c r="A158" s="13">
        <v>151</v>
      </c>
      <c r="B158" s="72" t="s">
        <v>252</v>
      </c>
      <c r="C158" s="67" t="s">
        <v>172</v>
      </c>
      <c r="D158" s="67" t="s">
        <v>172</v>
      </c>
      <c r="E158" s="66" t="s">
        <v>58</v>
      </c>
      <c r="F158" s="66" t="s">
        <v>172</v>
      </c>
      <c r="G158" s="66"/>
      <c r="H158" s="66" t="s">
        <v>172</v>
      </c>
      <c r="I158" s="66" t="s">
        <v>172</v>
      </c>
      <c r="J158" s="66" t="s">
        <v>172</v>
      </c>
      <c r="K158" s="66"/>
      <c r="L158" s="66" t="s">
        <v>172</v>
      </c>
      <c r="M158" s="66" t="s">
        <v>172</v>
      </c>
      <c r="N158" s="66" t="s">
        <v>172</v>
      </c>
      <c r="O158" s="66" t="s">
        <v>172</v>
      </c>
      <c r="P158" s="66" t="s">
        <v>172</v>
      </c>
      <c r="Q158" s="66" t="s">
        <v>172</v>
      </c>
      <c r="R158" s="77"/>
      <c r="S158" s="19"/>
      <c r="T158" s="66" t="s">
        <v>172</v>
      </c>
    </row>
    <row r="159" spans="1:20" s="2" customFormat="1" ht="12" customHeight="1">
      <c r="A159" s="18">
        <v>152</v>
      </c>
      <c r="B159" s="20" t="s">
        <v>257</v>
      </c>
      <c r="C159" s="21" t="s">
        <v>570</v>
      </c>
      <c r="D159" s="22" t="s">
        <v>571</v>
      </c>
      <c r="E159" s="39" t="s">
        <v>258</v>
      </c>
      <c r="F159" s="39" t="s">
        <v>258</v>
      </c>
      <c r="G159" s="24" t="s">
        <v>21</v>
      </c>
      <c r="H159" s="25" t="s">
        <v>22</v>
      </c>
      <c r="I159" s="25" t="s">
        <v>259</v>
      </c>
      <c r="J159" s="51">
        <v>28461</v>
      </c>
      <c r="K159" s="52">
        <f t="shared" ca="1" si="1"/>
        <v>48</v>
      </c>
      <c r="L159" s="25" t="s">
        <v>24</v>
      </c>
      <c r="M159" s="25" t="s">
        <v>260</v>
      </c>
      <c r="N159" s="25" t="s">
        <v>26</v>
      </c>
      <c r="O159" s="24" t="s">
        <v>89</v>
      </c>
      <c r="P159" s="25" t="s">
        <v>126</v>
      </c>
      <c r="Q159" s="25" t="s">
        <v>29</v>
      </c>
      <c r="R159" s="20" t="s">
        <v>36</v>
      </c>
      <c r="S159" s="19"/>
      <c r="T159" s="19" t="s">
        <v>353</v>
      </c>
    </row>
    <row r="160" spans="1:20" s="2" customFormat="1" ht="12" customHeight="1">
      <c r="A160" s="13">
        <v>153</v>
      </c>
      <c r="B160" s="26"/>
      <c r="C160" s="27" t="s">
        <v>570</v>
      </c>
      <c r="D160" s="28" t="s">
        <v>572</v>
      </c>
      <c r="E160" s="29"/>
      <c r="F160" s="30" t="s">
        <v>261</v>
      </c>
      <c r="G160" s="31" t="s">
        <v>39</v>
      </c>
      <c r="H160" s="29" t="s">
        <v>40</v>
      </c>
      <c r="I160" s="29" t="s">
        <v>23</v>
      </c>
      <c r="J160" s="54">
        <v>29891</v>
      </c>
      <c r="K160" s="55">
        <f t="shared" ca="1" si="1"/>
        <v>44</v>
      </c>
      <c r="L160" s="29" t="s">
        <v>24</v>
      </c>
      <c r="M160" s="29" t="s">
        <v>260</v>
      </c>
      <c r="N160" s="29" t="s">
        <v>26</v>
      </c>
      <c r="O160" s="31" t="s">
        <v>27</v>
      </c>
      <c r="P160" s="29" t="s">
        <v>126</v>
      </c>
      <c r="Q160" s="29" t="s">
        <v>42</v>
      </c>
      <c r="R160" s="26"/>
      <c r="S160" s="19"/>
      <c r="T160" s="19" t="s">
        <v>353</v>
      </c>
    </row>
    <row r="161" spans="1:20" s="2" customFormat="1" ht="12" customHeight="1">
      <c r="A161" s="13">
        <v>154</v>
      </c>
      <c r="B161" s="26"/>
      <c r="C161" s="27" t="s">
        <v>570</v>
      </c>
      <c r="D161" s="28" t="s">
        <v>573</v>
      </c>
      <c r="E161" s="29"/>
      <c r="F161" s="30" t="s">
        <v>262</v>
      </c>
      <c r="G161" s="31" t="s">
        <v>39</v>
      </c>
      <c r="H161" s="29" t="s">
        <v>44</v>
      </c>
      <c r="I161" s="29" t="s">
        <v>23</v>
      </c>
      <c r="J161" s="54">
        <v>39549</v>
      </c>
      <c r="K161" s="55">
        <f t="shared" ca="1" si="1"/>
        <v>18</v>
      </c>
      <c r="L161" s="29" t="s">
        <v>45</v>
      </c>
      <c r="M161" s="29" t="s">
        <v>260</v>
      </c>
      <c r="N161" s="29" t="s">
        <v>26</v>
      </c>
      <c r="O161" s="31" t="s">
        <v>27</v>
      </c>
      <c r="P161" s="29" t="s">
        <v>28</v>
      </c>
      <c r="Q161" s="29" t="s">
        <v>50</v>
      </c>
      <c r="R161" s="26"/>
      <c r="S161" s="19"/>
      <c r="T161" s="19" t="s">
        <v>353</v>
      </c>
    </row>
    <row r="162" spans="1:20" s="2" customFormat="1" ht="12" customHeight="1">
      <c r="A162" s="18">
        <v>155</v>
      </c>
      <c r="B162" s="32"/>
      <c r="C162" s="33" t="s">
        <v>570</v>
      </c>
      <c r="D162" s="34" t="s">
        <v>574</v>
      </c>
      <c r="E162" s="35"/>
      <c r="F162" s="36" t="s">
        <v>263</v>
      </c>
      <c r="G162" s="37" t="s">
        <v>39</v>
      </c>
      <c r="H162" s="35" t="s">
        <v>44</v>
      </c>
      <c r="I162" s="35" t="s">
        <v>23</v>
      </c>
      <c r="J162" s="57">
        <v>41351</v>
      </c>
      <c r="K162" s="58">
        <f t="shared" ca="1" si="1"/>
        <v>13</v>
      </c>
      <c r="L162" s="35" t="s">
        <v>45</v>
      </c>
      <c r="M162" s="35" t="s">
        <v>260</v>
      </c>
      <c r="N162" s="35" t="s">
        <v>26</v>
      </c>
      <c r="O162" s="37" t="s">
        <v>27</v>
      </c>
      <c r="P162" s="35" t="s">
        <v>61</v>
      </c>
      <c r="Q162" s="35" t="s">
        <v>50</v>
      </c>
      <c r="R162" s="26"/>
      <c r="S162" s="19"/>
      <c r="T162" s="19" t="s">
        <v>353</v>
      </c>
    </row>
    <row r="163" spans="1:20" s="2" customFormat="1" ht="12" customHeight="1">
      <c r="A163" s="13">
        <v>156</v>
      </c>
      <c r="B163" s="64" t="s">
        <v>264</v>
      </c>
      <c r="C163" s="67" t="s">
        <v>172</v>
      </c>
      <c r="D163" s="67" t="s">
        <v>172</v>
      </c>
      <c r="E163" s="66" t="s">
        <v>58</v>
      </c>
      <c r="F163" s="66" t="s">
        <v>172</v>
      </c>
      <c r="G163" s="66"/>
      <c r="H163" s="66" t="s">
        <v>172</v>
      </c>
      <c r="I163" s="66" t="s">
        <v>172</v>
      </c>
      <c r="J163" s="66" t="s">
        <v>172</v>
      </c>
      <c r="K163" s="66"/>
      <c r="L163" s="66" t="s">
        <v>172</v>
      </c>
      <c r="M163" s="66" t="s">
        <v>172</v>
      </c>
      <c r="N163" s="66" t="s">
        <v>172</v>
      </c>
      <c r="O163" s="66" t="s">
        <v>172</v>
      </c>
      <c r="P163" s="66" t="s">
        <v>172</v>
      </c>
      <c r="Q163" s="66" t="s">
        <v>172</v>
      </c>
      <c r="R163" s="72"/>
      <c r="S163" s="19"/>
      <c r="T163" s="66" t="s">
        <v>172</v>
      </c>
    </row>
    <row r="164" spans="1:20" s="2" customFormat="1" ht="12" customHeight="1">
      <c r="A164" s="13">
        <v>157</v>
      </c>
      <c r="B164" s="64" t="s">
        <v>265</v>
      </c>
      <c r="C164" s="67" t="s">
        <v>172</v>
      </c>
      <c r="D164" s="67" t="s">
        <v>172</v>
      </c>
      <c r="E164" s="66" t="s">
        <v>58</v>
      </c>
      <c r="F164" s="66" t="s">
        <v>172</v>
      </c>
      <c r="G164" s="66"/>
      <c r="H164" s="66" t="s">
        <v>172</v>
      </c>
      <c r="I164" s="66" t="s">
        <v>172</v>
      </c>
      <c r="J164" s="66" t="s">
        <v>172</v>
      </c>
      <c r="K164" s="66"/>
      <c r="L164" s="66" t="s">
        <v>172</v>
      </c>
      <c r="M164" s="66" t="s">
        <v>172</v>
      </c>
      <c r="N164" s="66" t="s">
        <v>172</v>
      </c>
      <c r="O164" s="66" t="s">
        <v>172</v>
      </c>
      <c r="P164" s="66" t="s">
        <v>172</v>
      </c>
      <c r="Q164" s="66" t="s">
        <v>172</v>
      </c>
      <c r="R164" s="64"/>
      <c r="S164" s="19"/>
      <c r="T164" s="66" t="s">
        <v>172</v>
      </c>
    </row>
    <row r="165" spans="1:20" s="2" customFormat="1" ht="12" customHeight="1">
      <c r="A165" s="18">
        <v>158</v>
      </c>
      <c r="B165" s="20" t="s">
        <v>266</v>
      </c>
      <c r="C165" s="41" t="s">
        <v>575</v>
      </c>
      <c r="D165" s="41" t="s">
        <v>576</v>
      </c>
      <c r="E165" s="38" t="s">
        <v>267</v>
      </c>
      <c r="F165" s="38" t="s">
        <v>267</v>
      </c>
      <c r="G165" s="24" t="s">
        <v>21</v>
      </c>
      <c r="H165" s="25" t="s">
        <v>22</v>
      </c>
      <c r="I165" s="25" t="s">
        <v>268</v>
      </c>
      <c r="J165" s="51">
        <v>29182</v>
      </c>
      <c r="K165" s="52">
        <f t="shared" ref="K165:K173" ca="1" si="5">INT((TODAY()-J165)/365)</f>
        <v>46</v>
      </c>
      <c r="L165" s="25" t="s">
        <v>24</v>
      </c>
      <c r="M165" s="25" t="s">
        <v>25</v>
      </c>
      <c r="N165" s="25" t="s">
        <v>26</v>
      </c>
      <c r="O165" s="24" t="s">
        <v>112</v>
      </c>
      <c r="P165" s="25" t="s">
        <v>126</v>
      </c>
      <c r="Q165" s="19" t="s">
        <v>35</v>
      </c>
      <c r="R165" s="20" t="s">
        <v>36</v>
      </c>
      <c r="S165" s="19"/>
      <c r="T165" s="19" t="s">
        <v>353</v>
      </c>
    </row>
    <row r="166" spans="1:20" s="2" customFormat="1" ht="12" customHeight="1">
      <c r="A166" s="13">
        <v>159</v>
      </c>
      <c r="B166" s="26"/>
      <c r="C166" s="42" t="s">
        <v>575</v>
      </c>
      <c r="D166" s="42" t="s">
        <v>577</v>
      </c>
      <c r="E166" s="29"/>
      <c r="F166" s="29" t="s">
        <v>269</v>
      </c>
      <c r="G166" s="31" t="s">
        <v>39</v>
      </c>
      <c r="H166" s="29" t="s">
        <v>40</v>
      </c>
      <c r="I166" s="29" t="s">
        <v>23</v>
      </c>
      <c r="J166" s="54">
        <v>29411</v>
      </c>
      <c r="K166" s="55">
        <f t="shared" ca="1" si="5"/>
        <v>46</v>
      </c>
      <c r="L166" s="29" t="s">
        <v>24</v>
      </c>
      <c r="M166" s="29" t="s">
        <v>25</v>
      </c>
      <c r="N166" s="29" t="s">
        <v>26</v>
      </c>
      <c r="O166" s="31" t="s">
        <v>27</v>
      </c>
      <c r="P166" s="29" t="s">
        <v>34</v>
      </c>
      <c r="Q166" s="19" t="s">
        <v>42</v>
      </c>
      <c r="R166" s="26"/>
      <c r="S166" s="19"/>
      <c r="T166" s="19" t="s">
        <v>353</v>
      </c>
    </row>
    <row r="167" spans="1:20" s="2" customFormat="1" ht="12" customHeight="1">
      <c r="A167" s="13">
        <v>160</v>
      </c>
      <c r="B167" s="26"/>
      <c r="C167" s="42" t="s">
        <v>575</v>
      </c>
      <c r="D167" s="42" t="s">
        <v>578</v>
      </c>
      <c r="E167" s="29"/>
      <c r="F167" s="29" t="s">
        <v>270</v>
      </c>
      <c r="G167" s="31" t="s">
        <v>21</v>
      </c>
      <c r="H167" s="29" t="s">
        <v>44</v>
      </c>
      <c r="I167" s="29" t="s">
        <v>23</v>
      </c>
      <c r="J167" s="54">
        <v>38720</v>
      </c>
      <c r="K167" s="55">
        <f t="shared" ca="1" si="5"/>
        <v>20</v>
      </c>
      <c r="L167" s="29" t="s">
        <v>45</v>
      </c>
      <c r="M167" s="29" t="s">
        <v>25</v>
      </c>
      <c r="N167" s="29" t="s">
        <v>271</v>
      </c>
      <c r="O167" s="31" t="s">
        <v>27</v>
      </c>
      <c r="P167" s="29" t="s">
        <v>49</v>
      </c>
      <c r="Q167" s="19" t="s">
        <v>50</v>
      </c>
      <c r="R167" s="26"/>
      <c r="S167" s="19"/>
      <c r="T167" s="19" t="s">
        <v>353</v>
      </c>
    </row>
    <row r="168" spans="1:20" s="2" customFormat="1" ht="12" customHeight="1">
      <c r="A168" s="18">
        <v>161</v>
      </c>
      <c r="B168" s="32"/>
      <c r="C168" s="43" t="s">
        <v>575</v>
      </c>
      <c r="D168" s="43" t="s">
        <v>579</v>
      </c>
      <c r="E168" s="35"/>
      <c r="F168" s="35" t="s">
        <v>272</v>
      </c>
      <c r="G168" s="37" t="s">
        <v>21</v>
      </c>
      <c r="H168" s="35" t="s">
        <v>44</v>
      </c>
      <c r="I168" s="35" t="s">
        <v>23</v>
      </c>
      <c r="J168" s="57">
        <v>41532</v>
      </c>
      <c r="K168" s="58">
        <f t="shared" ca="1" si="5"/>
        <v>13</v>
      </c>
      <c r="L168" s="35" t="s">
        <v>45</v>
      </c>
      <c r="M168" s="35" t="s">
        <v>25</v>
      </c>
      <c r="N168" s="35" t="s">
        <v>26</v>
      </c>
      <c r="O168" s="37" t="s">
        <v>27</v>
      </c>
      <c r="P168" s="35" t="s">
        <v>83</v>
      </c>
      <c r="Q168" s="19" t="s">
        <v>50</v>
      </c>
      <c r="R168" s="32"/>
      <c r="S168" s="19"/>
      <c r="T168" s="19" t="s">
        <v>353</v>
      </c>
    </row>
    <row r="169" spans="1:20" s="2" customFormat="1" ht="12" customHeight="1">
      <c r="A169" s="13">
        <v>162</v>
      </c>
      <c r="B169" s="20" t="s">
        <v>273</v>
      </c>
      <c r="C169" s="41" t="s">
        <v>580</v>
      </c>
      <c r="D169" s="41" t="s">
        <v>581</v>
      </c>
      <c r="E169" s="38" t="s">
        <v>274</v>
      </c>
      <c r="F169" s="38" t="s">
        <v>274</v>
      </c>
      <c r="G169" s="24" t="s">
        <v>21</v>
      </c>
      <c r="H169" s="25" t="s">
        <v>22</v>
      </c>
      <c r="I169" s="25" t="s">
        <v>23</v>
      </c>
      <c r="J169" s="51">
        <v>27066</v>
      </c>
      <c r="K169" s="52">
        <f t="shared" ca="1" si="5"/>
        <v>52</v>
      </c>
      <c r="L169" s="25" t="s">
        <v>24</v>
      </c>
      <c r="M169" s="25" t="s">
        <v>25</v>
      </c>
      <c r="N169" s="25" t="s">
        <v>26</v>
      </c>
      <c r="O169" s="24" t="s">
        <v>27</v>
      </c>
      <c r="P169" s="25" t="s">
        <v>34</v>
      </c>
      <c r="Q169" s="25" t="s">
        <v>35</v>
      </c>
      <c r="R169" s="20" t="s">
        <v>36</v>
      </c>
      <c r="S169" s="19"/>
      <c r="T169" s="19" t="s">
        <v>353</v>
      </c>
    </row>
    <row r="170" spans="1:20" s="2" customFormat="1" ht="12" customHeight="1">
      <c r="A170" s="13">
        <v>163</v>
      </c>
      <c r="B170" s="26"/>
      <c r="C170" s="42" t="s">
        <v>580</v>
      </c>
      <c r="D170" s="42" t="s">
        <v>582</v>
      </c>
      <c r="E170" s="29"/>
      <c r="F170" s="29" t="s">
        <v>275</v>
      </c>
      <c r="G170" s="31" t="s">
        <v>39</v>
      </c>
      <c r="H170" s="29" t="s">
        <v>40</v>
      </c>
      <c r="I170" s="29" t="s">
        <v>23</v>
      </c>
      <c r="J170" s="54">
        <v>28171</v>
      </c>
      <c r="K170" s="55">
        <f t="shared" ca="1" si="5"/>
        <v>49</v>
      </c>
      <c r="L170" s="29" t="s">
        <v>24</v>
      </c>
      <c r="M170" s="29" t="s">
        <v>25</v>
      </c>
      <c r="N170" s="29" t="s">
        <v>26</v>
      </c>
      <c r="O170" s="31" t="s">
        <v>27</v>
      </c>
      <c r="P170" s="29" t="s">
        <v>34</v>
      </c>
      <c r="Q170" s="29" t="s">
        <v>35</v>
      </c>
      <c r="R170" s="26"/>
      <c r="S170" s="19"/>
      <c r="T170" s="19" t="s">
        <v>353</v>
      </c>
    </row>
    <row r="171" spans="1:20" s="2" customFormat="1" ht="12" customHeight="1">
      <c r="A171" s="18">
        <v>164</v>
      </c>
      <c r="B171" s="26"/>
      <c r="C171" s="42" t="s">
        <v>580</v>
      </c>
      <c r="D171" s="42" t="s">
        <v>583</v>
      </c>
      <c r="E171" s="29"/>
      <c r="F171" s="29" t="s">
        <v>276</v>
      </c>
      <c r="G171" s="31" t="s">
        <v>21</v>
      </c>
      <c r="H171" s="29" t="s">
        <v>44</v>
      </c>
      <c r="I171" s="29" t="s">
        <v>23</v>
      </c>
      <c r="J171" s="54">
        <v>37258</v>
      </c>
      <c r="K171" s="55">
        <f t="shared" ca="1" si="5"/>
        <v>24</v>
      </c>
      <c r="L171" s="29" t="s">
        <v>45</v>
      </c>
      <c r="M171" s="29" t="s">
        <v>25</v>
      </c>
      <c r="N171" s="29" t="s">
        <v>26</v>
      </c>
      <c r="O171" s="31" t="s">
        <v>27</v>
      </c>
      <c r="P171" s="29" t="s">
        <v>91</v>
      </c>
      <c r="Q171" s="29" t="s">
        <v>50</v>
      </c>
      <c r="R171" s="26"/>
      <c r="S171" s="19"/>
      <c r="T171" s="19" t="s">
        <v>353</v>
      </c>
    </row>
    <row r="172" spans="1:20" s="2" customFormat="1" ht="12" customHeight="1">
      <c r="A172" s="13">
        <v>165</v>
      </c>
      <c r="B172" s="26"/>
      <c r="C172" s="42" t="s">
        <v>580</v>
      </c>
      <c r="D172" s="42" t="s">
        <v>584</v>
      </c>
      <c r="E172" s="29"/>
      <c r="F172" s="29" t="s">
        <v>277</v>
      </c>
      <c r="G172" s="31" t="s">
        <v>21</v>
      </c>
      <c r="H172" s="29" t="s">
        <v>44</v>
      </c>
      <c r="I172" s="29" t="s">
        <v>23</v>
      </c>
      <c r="J172" s="54">
        <v>39077</v>
      </c>
      <c r="K172" s="55">
        <f t="shared" ca="1" si="5"/>
        <v>19</v>
      </c>
      <c r="L172" s="29" t="s">
        <v>45</v>
      </c>
      <c r="M172" s="29" t="s">
        <v>25</v>
      </c>
      <c r="N172" s="29" t="s">
        <v>26</v>
      </c>
      <c r="O172" s="31" t="s">
        <v>27</v>
      </c>
      <c r="P172" s="29" t="s">
        <v>49</v>
      </c>
      <c r="Q172" s="29" t="s">
        <v>50</v>
      </c>
      <c r="R172" s="26"/>
      <c r="S172" s="19"/>
      <c r="T172" s="19" t="s">
        <v>353</v>
      </c>
    </row>
    <row r="173" spans="1:20" s="2" customFormat="1" ht="12" customHeight="1">
      <c r="A173" s="13">
        <v>166</v>
      </c>
      <c r="B173" s="32"/>
      <c r="C173" s="43" t="s">
        <v>580</v>
      </c>
      <c r="D173" s="43" t="s">
        <v>585</v>
      </c>
      <c r="E173" s="35"/>
      <c r="F173" s="35" t="s">
        <v>278</v>
      </c>
      <c r="G173" s="37" t="s">
        <v>39</v>
      </c>
      <c r="H173" s="35" t="s">
        <v>44</v>
      </c>
      <c r="I173" s="35" t="s">
        <v>23</v>
      </c>
      <c r="J173" s="57">
        <v>41164</v>
      </c>
      <c r="K173" s="58">
        <f t="shared" ca="1" si="5"/>
        <v>14</v>
      </c>
      <c r="L173" s="35" t="s">
        <v>45</v>
      </c>
      <c r="M173" s="35" t="s">
        <v>25</v>
      </c>
      <c r="N173" s="35" t="s">
        <v>26</v>
      </c>
      <c r="O173" s="37" t="s">
        <v>27</v>
      </c>
      <c r="P173" s="35" t="s">
        <v>61</v>
      </c>
      <c r="Q173" s="35" t="s">
        <v>50</v>
      </c>
      <c r="R173" s="32"/>
      <c r="S173" s="19"/>
      <c r="T173" s="19" t="s">
        <v>353</v>
      </c>
    </row>
    <row r="174" spans="1:20" s="2" customFormat="1" ht="12" customHeight="1">
      <c r="A174" s="18">
        <v>167</v>
      </c>
      <c r="B174" s="20" t="s">
        <v>279</v>
      </c>
      <c r="C174" s="41" t="s">
        <v>586</v>
      </c>
      <c r="D174" s="41" t="s">
        <v>587</v>
      </c>
      <c r="E174" s="38" t="s">
        <v>280</v>
      </c>
      <c r="F174" s="38" t="s">
        <v>280</v>
      </c>
      <c r="G174" s="24" t="s">
        <v>21</v>
      </c>
      <c r="H174" s="25" t="s">
        <v>22</v>
      </c>
      <c r="I174" s="25" t="s">
        <v>79</v>
      </c>
      <c r="J174" s="51">
        <v>28941</v>
      </c>
      <c r="K174" s="52">
        <f t="shared" ca="1" si="1"/>
        <v>47</v>
      </c>
      <c r="L174" s="25" t="s">
        <v>24</v>
      </c>
      <c r="M174" s="25" t="s">
        <v>25</v>
      </c>
      <c r="N174" s="25" t="s">
        <v>26</v>
      </c>
      <c r="O174" s="24" t="s">
        <v>27</v>
      </c>
      <c r="P174" s="25" t="s">
        <v>248</v>
      </c>
      <c r="Q174" s="25" t="s">
        <v>29</v>
      </c>
      <c r="R174" s="20" t="s">
        <v>30</v>
      </c>
      <c r="S174" s="19"/>
      <c r="T174" s="19" t="s">
        <v>350</v>
      </c>
    </row>
    <row r="175" spans="1:20" s="2" customFormat="1" ht="12" customHeight="1">
      <c r="A175" s="13">
        <v>168</v>
      </c>
      <c r="B175" s="26"/>
      <c r="C175" s="42" t="s">
        <v>586</v>
      </c>
      <c r="D175" s="42" t="s">
        <v>588</v>
      </c>
      <c r="E175" s="29"/>
      <c r="F175" s="29" t="s">
        <v>281</v>
      </c>
      <c r="G175" s="31" t="s">
        <v>39</v>
      </c>
      <c r="H175" s="29" t="s">
        <v>40</v>
      </c>
      <c r="I175" s="29" t="s">
        <v>282</v>
      </c>
      <c r="J175" s="54">
        <v>30165</v>
      </c>
      <c r="K175" s="55">
        <f t="shared" ca="1" si="1"/>
        <v>44</v>
      </c>
      <c r="L175" s="29" t="s">
        <v>24</v>
      </c>
      <c r="M175" s="29" t="s">
        <v>25</v>
      </c>
      <c r="N175" s="29" t="s">
        <v>26</v>
      </c>
      <c r="O175" s="31" t="s">
        <v>87</v>
      </c>
      <c r="P175" s="29" t="s">
        <v>248</v>
      </c>
      <c r="Q175" s="29" t="s">
        <v>42</v>
      </c>
      <c r="R175" s="26"/>
      <c r="S175" s="19"/>
      <c r="T175" s="19" t="s">
        <v>350</v>
      </c>
    </row>
    <row r="176" spans="1:20" s="2" customFormat="1" ht="12" customHeight="1">
      <c r="A176" s="13">
        <v>169</v>
      </c>
      <c r="B176" s="26"/>
      <c r="C176" s="42" t="s">
        <v>586</v>
      </c>
      <c r="D176" s="42" t="s">
        <v>589</v>
      </c>
      <c r="E176" s="29"/>
      <c r="F176" s="29" t="s">
        <v>283</v>
      </c>
      <c r="G176" s="31" t="s">
        <v>21</v>
      </c>
      <c r="H176" s="29" t="s">
        <v>44</v>
      </c>
      <c r="I176" s="29" t="s">
        <v>282</v>
      </c>
      <c r="J176" s="54">
        <v>39711</v>
      </c>
      <c r="K176" s="55">
        <f t="shared" ca="1" si="1"/>
        <v>18</v>
      </c>
      <c r="L176" s="29" t="s">
        <v>45</v>
      </c>
      <c r="M176" s="29" t="s">
        <v>25</v>
      </c>
      <c r="N176" s="29" t="s">
        <v>26</v>
      </c>
      <c r="O176" s="31" t="s">
        <v>27</v>
      </c>
      <c r="P176" s="29" t="s">
        <v>49</v>
      </c>
      <c r="Q176" s="29" t="s">
        <v>50</v>
      </c>
      <c r="R176" s="26"/>
      <c r="S176" s="19"/>
      <c r="T176" s="19" t="s">
        <v>350</v>
      </c>
    </row>
    <row r="177" spans="1:20" s="2" customFormat="1" ht="12" customHeight="1">
      <c r="A177" s="18">
        <v>170</v>
      </c>
      <c r="B177" s="26"/>
      <c r="C177" s="42" t="s">
        <v>586</v>
      </c>
      <c r="D177" s="42" t="s">
        <v>590</v>
      </c>
      <c r="E177" s="29"/>
      <c r="F177" s="29" t="s">
        <v>284</v>
      </c>
      <c r="G177" s="31" t="s">
        <v>21</v>
      </c>
      <c r="H177" s="29" t="s">
        <v>44</v>
      </c>
      <c r="I177" s="29" t="s">
        <v>23</v>
      </c>
      <c r="J177" s="54">
        <v>42190</v>
      </c>
      <c r="K177" s="55">
        <f t="shared" ca="1" si="1"/>
        <v>11</v>
      </c>
      <c r="L177" s="29" t="s">
        <v>45</v>
      </c>
      <c r="M177" s="29" t="s">
        <v>25</v>
      </c>
      <c r="N177" s="29" t="s">
        <v>26</v>
      </c>
      <c r="O177" s="31" t="s">
        <v>27</v>
      </c>
      <c r="P177" s="29" t="s">
        <v>61</v>
      </c>
      <c r="Q177" s="29" t="s">
        <v>50</v>
      </c>
      <c r="R177" s="26"/>
      <c r="S177" s="19"/>
      <c r="T177" s="19" t="s">
        <v>350</v>
      </c>
    </row>
    <row r="178" spans="1:20" s="2" customFormat="1" ht="12" customHeight="1">
      <c r="A178" s="13">
        <v>171</v>
      </c>
      <c r="B178" s="32"/>
      <c r="C178" s="43" t="s">
        <v>586</v>
      </c>
      <c r="D178" s="43" t="s">
        <v>591</v>
      </c>
      <c r="E178" s="35"/>
      <c r="F178" s="35" t="s">
        <v>285</v>
      </c>
      <c r="G178" s="37" t="s">
        <v>21</v>
      </c>
      <c r="H178" s="35" t="s">
        <v>44</v>
      </c>
      <c r="I178" s="35" t="s">
        <v>48</v>
      </c>
      <c r="J178" s="57">
        <v>43599</v>
      </c>
      <c r="K178" s="58">
        <f t="shared" ca="1" si="1"/>
        <v>7</v>
      </c>
      <c r="L178" s="35" t="s">
        <v>45</v>
      </c>
      <c r="M178" s="35" t="s">
        <v>25</v>
      </c>
      <c r="N178" s="35" t="s">
        <v>26</v>
      </c>
      <c r="O178" s="37" t="s">
        <v>27</v>
      </c>
      <c r="P178" s="35" t="s">
        <v>286</v>
      </c>
      <c r="Q178" s="35" t="s">
        <v>63</v>
      </c>
      <c r="R178" s="32"/>
      <c r="S178" s="19"/>
      <c r="T178" s="19" t="s">
        <v>350</v>
      </c>
    </row>
    <row r="179" spans="1:20" s="2" customFormat="1" ht="12" customHeight="1">
      <c r="A179" s="13">
        <v>172</v>
      </c>
      <c r="B179" s="20" t="s">
        <v>287</v>
      </c>
      <c r="C179" s="41" t="s">
        <v>592</v>
      </c>
      <c r="D179" s="41" t="s">
        <v>593</v>
      </c>
      <c r="E179" s="38" t="s">
        <v>594</v>
      </c>
      <c r="F179" s="38" t="s">
        <v>594</v>
      </c>
      <c r="G179" s="24" t="s">
        <v>21</v>
      </c>
      <c r="H179" s="25" t="s">
        <v>22</v>
      </c>
      <c r="I179" s="25" t="s">
        <v>101</v>
      </c>
      <c r="J179" s="51">
        <v>27508</v>
      </c>
      <c r="K179" s="24">
        <f t="shared" ca="1" si="1"/>
        <v>51</v>
      </c>
      <c r="L179" s="25" t="s">
        <v>24</v>
      </c>
      <c r="M179" s="25" t="s">
        <v>25</v>
      </c>
      <c r="N179" s="25" t="s">
        <v>26</v>
      </c>
      <c r="O179" s="24" t="s">
        <v>27</v>
      </c>
      <c r="P179" s="25" t="s">
        <v>248</v>
      </c>
      <c r="Q179" s="19" t="s">
        <v>29</v>
      </c>
      <c r="R179" s="20" t="s">
        <v>30</v>
      </c>
      <c r="S179" s="19"/>
      <c r="T179" s="19" t="s">
        <v>350</v>
      </c>
    </row>
    <row r="180" spans="1:20" s="2" customFormat="1" ht="12" customHeight="1">
      <c r="A180" s="18">
        <v>173</v>
      </c>
      <c r="B180" s="26"/>
      <c r="C180" s="42" t="s">
        <v>592</v>
      </c>
      <c r="D180" s="42" t="s">
        <v>595</v>
      </c>
      <c r="E180" s="29"/>
      <c r="F180" s="29" t="s">
        <v>596</v>
      </c>
      <c r="G180" s="31" t="s">
        <v>39</v>
      </c>
      <c r="H180" s="29" t="s">
        <v>40</v>
      </c>
      <c r="I180" s="29" t="s">
        <v>48</v>
      </c>
      <c r="J180" s="54">
        <v>29887</v>
      </c>
      <c r="K180" s="31">
        <f t="shared" ca="1" si="1"/>
        <v>44</v>
      </c>
      <c r="L180" s="29" t="s">
        <v>24</v>
      </c>
      <c r="M180" s="29" t="s">
        <v>25</v>
      </c>
      <c r="N180" s="29" t="s">
        <v>26</v>
      </c>
      <c r="O180" s="31" t="s">
        <v>27</v>
      </c>
      <c r="P180" s="29" t="s">
        <v>248</v>
      </c>
      <c r="Q180" s="19" t="s">
        <v>42</v>
      </c>
      <c r="R180" s="26"/>
      <c r="S180" s="19"/>
      <c r="T180" s="19" t="s">
        <v>350</v>
      </c>
    </row>
    <row r="181" spans="1:20" s="2" customFormat="1" ht="12" customHeight="1">
      <c r="A181" s="13">
        <v>174</v>
      </c>
      <c r="B181" s="26"/>
      <c r="C181" s="42" t="s">
        <v>592</v>
      </c>
      <c r="D181" s="42" t="s">
        <v>597</v>
      </c>
      <c r="E181" s="29"/>
      <c r="F181" s="29" t="s">
        <v>598</v>
      </c>
      <c r="G181" s="31" t="s">
        <v>21</v>
      </c>
      <c r="H181" s="29" t="s">
        <v>44</v>
      </c>
      <c r="I181" s="29" t="s">
        <v>48</v>
      </c>
      <c r="J181" s="54">
        <v>37088</v>
      </c>
      <c r="K181" s="31">
        <f t="shared" ca="1" si="1"/>
        <v>25</v>
      </c>
      <c r="L181" s="29" t="s">
        <v>45</v>
      </c>
      <c r="M181" s="29" t="s">
        <v>25</v>
      </c>
      <c r="N181" s="29" t="s">
        <v>26</v>
      </c>
      <c r="O181" s="31" t="s">
        <v>27</v>
      </c>
      <c r="P181" s="29" t="s">
        <v>248</v>
      </c>
      <c r="Q181" s="19" t="s">
        <v>29</v>
      </c>
      <c r="R181" s="26"/>
      <c r="S181" s="19"/>
      <c r="T181" s="19" t="s">
        <v>350</v>
      </c>
    </row>
    <row r="182" spans="1:20" s="2" customFormat="1" ht="12" customHeight="1">
      <c r="A182" s="13">
        <v>175</v>
      </c>
      <c r="B182" s="26"/>
      <c r="C182" s="42" t="s">
        <v>592</v>
      </c>
      <c r="D182" s="42" t="s">
        <v>599</v>
      </c>
      <c r="E182" s="29"/>
      <c r="F182" s="73" t="s">
        <v>600</v>
      </c>
      <c r="G182" s="31" t="s">
        <v>21</v>
      </c>
      <c r="H182" s="29" t="s">
        <v>44</v>
      </c>
      <c r="I182" s="29" t="s">
        <v>48</v>
      </c>
      <c r="J182" s="54">
        <v>38591</v>
      </c>
      <c r="K182" s="31">
        <f t="shared" ca="1" si="1"/>
        <v>21</v>
      </c>
      <c r="L182" s="29" t="s">
        <v>45</v>
      </c>
      <c r="M182" s="29" t="s">
        <v>25</v>
      </c>
      <c r="N182" s="29" t="s">
        <v>26</v>
      </c>
      <c r="O182" s="31" t="s">
        <v>27</v>
      </c>
      <c r="P182" s="29" t="s">
        <v>49</v>
      </c>
      <c r="Q182" s="19" t="s">
        <v>50</v>
      </c>
      <c r="R182" s="26"/>
      <c r="S182" s="19"/>
      <c r="T182" s="19" t="s">
        <v>350</v>
      </c>
    </row>
    <row r="183" spans="1:20" s="2" customFormat="1" ht="12" customHeight="1">
      <c r="A183" s="18">
        <v>176</v>
      </c>
      <c r="B183" s="26"/>
      <c r="C183" s="42" t="s">
        <v>592</v>
      </c>
      <c r="D183" s="42" t="s">
        <v>601</v>
      </c>
      <c r="E183" s="29"/>
      <c r="F183" s="29" t="s">
        <v>602</v>
      </c>
      <c r="G183" s="31" t="s">
        <v>21</v>
      </c>
      <c r="H183" s="29" t="s">
        <v>44</v>
      </c>
      <c r="I183" s="29" t="s">
        <v>48</v>
      </c>
      <c r="J183" s="54">
        <v>41076</v>
      </c>
      <c r="K183" s="31">
        <f t="shared" ca="1" si="1"/>
        <v>14</v>
      </c>
      <c r="L183" s="29" t="s">
        <v>45</v>
      </c>
      <c r="M183" s="29" t="s">
        <v>25</v>
      </c>
      <c r="N183" s="29" t="s">
        <v>26</v>
      </c>
      <c r="O183" s="31" t="s">
        <v>27</v>
      </c>
      <c r="P183" s="29" t="s">
        <v>61</v>
      </c>
      <c r="Q183" s="19" t="s">
        <v>50</v>
      </c>
      <c r="R183" s="26"/>
      <c r="S183" s="19"/>
      <c r="T183" s="19" t="s">
        <v>350</v>
      </c>
    </row>
    <row r="184" spans="1:20" s="2" customFormat="1" ht="12" customHeight="1">
      <c r="A184" s="13">
        <v>177</v>
      </c>
      <c r="B184" s="32"/>
      <c r="C184" s="43" t="s">
        <v>592</v>
      </c>
      <c r="D184" s="43" t="s">
        <v>603</v>
      </c>
      <c r="E184" s="35"/>
      <c r="F184" s="35" t="s">
        <v>604</v>
      </c>
      <c r="G184" s="37" t="s">
        <v>39</v>
      </c>
      <c r="H184" s="35" t="s">
        <v>44</v>
      </c>
      <c r="I184" s="35" t="s">
        <v>48</v>
      </c>
      <c r="J184" s="57">
        <v>43954</v>
      </c>
      <c r="K184" s="37">
        <f t="shared" ca="1" si="1"/>
        <v>6</v>
      </c>
      <c r="L184" s="35" t="s">
        <v>45</v>
      </c>
      <c r="M184" s="35" t="s">
        <v>25</v>
      </c>
      <c r="N184" s="35" t="s">
        <v>26</v>
      </c>
      <c r="O184" s="37" t="s">
        <v>27</v>
      </c>
      <c r="P184" s="35" t="s">
        <v>286</v>
      </c>
      <c r="Q184" s="19" t="s">
        <v>63</v>
      </c>
      <c r="R184" s="32"/>
      <c r="S184" s="19"/>
      <c r="T184" s="19" t="s">
        <v>350</v>
      </c>
    </row>
    <row r="185" spans="1:20" s="2" customFormat="1" ht="12" customHeight="1">
      <c r="A185" s="13">
        <v>178</v>
      </c>
      <c r="B185" s="20" t="s">
        <v>605</v>
      </c>
      <c r="C185" s="74" t="s">
        <v>172</v>
      </c>
      <c r="D185" s="74" t="s">
        <v>172</v>
      </c>
      <c r="E185" s="75" t="s">
        <v>606</v>
      </c>
      <c r="F185" s="75" t="s">
        <v>606</v>
      </c>
      <c r="G185" s="18" t="s">
        <v>21</v>
      </c>
      <c r="H185" s="19" t="s">
        <v>22</v>
      </c>
      <c r="I185" s="19"/>
      <c r="J185" s="48">
        <v>27769</v>
      </c>
      <c r="K185" s="18">
        <f t="shared" ca="1" si="1"/>
        <v>50</v>
      </c>
      <c r="L185" s="19" t="s">
        <v>24</v>
      </c>
      <c r="M185" s="19" t="s">
        <v>25</v>
      </c>
      <c r="N185" s="19" t="s">
        <v>26</v>
      </c>
      <c r="O185" s="18" t="s">
        <v>27</v>
      </c>
      <c r="P185" s="19"/>
      <c r="Q185" s="19" t="s">
        <v>29</v>
      </c>
      <c r="R185" s="20" t="s">
        <v>30</v>
      </c>
      <c r="S185" s="19"/>
      <c r="T185" s="19" t="s">
        <v>350</v>
      </c>
    </row>
    <row r="186" spans="1:20" s="2" customFormat="1" ht="12" customHeight="1">
      <c r="A186" s="18">
        <v>179</v>
      </c>
      <c r="B186" s="26"/>
      <c r="C186" s="74" t="s">
        <v>172</v>
      </c>
      <c r="D186" s="74" t="s">
        <v>172</v>
      </c>
      <c r="E186" s="19"/>
      <c r="F186" s="76" t="s">
        <v>607</v>
      </c>
      <c r="G186" s="18" t="s">
        <v>39</v>
      </c>
      <c r="H186" s="19" t="s">
        <v>40</v>
      </c>
      <c r="I186" s="19" t="s">
        <v>608</v>
      </c>
      <c r="J186" s="48">
        <v>30633</v>
      </c>
      <c r="K186" s="18">
        <f t="shared" ca="1" si="1"/>
        <v>42</v>
      </c>
      <c r="L186" s="19" t="s">
        <v>24</v>
      </c>
      <c r="M186" s="19" t="s">
        <v>25</v>
      </c>
      <c r="N186" s="19" t="s">
        <v>26</v>
      </c>
      <c r="O186" s="18" t="s">
        <v>27</v>
      </c>
      <c r="P186" s="19"/>
      <c r="Q186" s="19" t="s">
        <v>42</v>
      </c>
      <c r="R186" s="26"/>
      <c r="S186" s="19"/>
      <c r="T186" s="19" t="s">
        <v>350</v>
      </c>
    </row>
    <row r="187" spans="1:20" s="2" customFormat="1" ht="12" customHeight="1">
      <c r="A187" s="13">
        <v>180</v>
      </c>
      <c r="B187" s="26"/>
      <c r="C187" s="74" t="s">
        <v>172</v>
      </c>
      <c r="D187" s="74" t="s">
        <v>172</v>
      </c>
      <c r="E187" s="19"/>
      <c r="F187" s="76" t="s">
        <v>609</v>
      </c>
      <c r="G187" s="18" t="s">
        <v>21</v>
      </c>
      <c r="H187" s="19" t="s">
        <v>44</v>
      </c>
      <c r="I187" s="19" t="s">
        <v>610</v>
      </c>
      <c r="J187" s="48">
        <v>37428</v>
      </c>
      <c r="K187" s="18">
        <f t="shared" ca="1" si="1"/>
        <v>24</v>
      </c>
      <c r="L187" s="19" t="s">
        <v>45</v>
      </c>
      <c r="M187" s="19" t="s">
        <v>25</v>
      </c>
      <c r="N187" s="19" t="s">
        <v>26</v>
      </c>
      <c r="O187" s="18" t="s">
        <v>27</v>
      </c>
      <c r="P187" s="19"/>
      <c r="Q187" s="19"/>
      <c r="R187" s="26"/>
      <c r="S187" s="19"/>
      <c r="T187" s="19" t="s">
        <v>350</v>
      </c>
    </row>
    <row r="188" spans="1:20" s="2" customFormat="1" ht="12" customHeight="1">
      <c r="A188" s="13">
        <v>181</v>
      </c>
      <c r="B188" s="26"/>
      <c r="C188" s="74" t="s">
        <v>172</v>
      </c>
      <c r="D188" s="74" t="s">
        <v>172</v>
      </c>
      <c r="E188" s="19"/>
      <c r="F188" s="76" t="s">
        <v>611</v>
      </c>
      <c r="G188" s="18" t="s">
        <v>21</v>
      </c>
      <c r="H188" s="19" t="s">
        <v>44</v>
      </c>
      <c r="I188" s="19" t="s">
        <v>612</v>
      </c>
      <c r="J188" s="48">
        <v>38512</v>
      </c>
      <c r="K188" s="18">
        <f t="shared" ca="1" si="1"/>
        <v>21</v>
      </c>
      <c r="L188" s="19" t="s">
        <v>45</v>
      </c>
      <c r="M188" s="19" t="s">
        <v>25</v>
      </c>
      <c r="N188" s="19" t="s">
        <v>26</v>
      </c>
      <c r="O188" s="18" t="s">
        <v>27</v>
      </c>
      <c r="P188" s="19"/>
      <c r="Q188" s="19"/>
      <c r="R188" s="26"/>
      <c r="S188" s="19"/>
      <c r="T188" s="19" t="s">
        <v>350</v>
      </c>
    </row>
    <row r="189" spans="1:20" s="2" customFormat="1" ht="12" customHeight="1">
      <c r="A189" s="18">
        <v>182</v>
      </c>
      <c r="B189" s="26"/>
      <c r="C189" s="74" t="s">
        <v>172</v>
      </c>
      <c r="D189" s="74" t="s">
        <v>172</v>
      </c>
      <c r="E189" s="19"/>
      <c r="F189" s="76" t="s">
        <v>613</v>
      </c>
      <c r="G189" s="18" t="s">
        <v>39</v>
      </c>
      <c r="H189" s="19" t="s">
        <v>44</v>
      </c>
      <c r="I189" s="19" t="s">
        <v>608</v>
      </c>
      <c r="J189" s="48">
        <v>40102</v>
      </c>
      <c r="K189" s="18">
        <f t="shared" ca="1" si="1"/>
        <v>16</v>
      </c>
      <c r="L189" s="19" t="s">
        <v>45</v>
      </c>
      <c r="M189" s="19" t="s">
        <v>25</v>
      </c>
      <c r="N189" s="19" t="s">
        <v>26</v>
      </c>
      <c r="O189" s="18" t="s">
        <v>27</v>
      </c>
      <c r="P189" s="19"/>
      <c r="Q189" s="19"/>
      <c r="R189" s="26"/>
      <c r="S189" s="19"/>
      <c r="T189" s="19" t="s">
        <v>350</v>
      </c>
    </row>
    <row r="190" spans="1:20" s="2" customFormat="1" ht="12" customHeight="1">
      <c r="A190" s="13">
        <v>183</v>
      </c>
      <c r="B190" s="26"/>
      <c r="C190" s="74" t="s">
        <v>172</v>
      </c>
      <c r="D190" s="74" t="s">
        <v>172</v>
      </c>
      <c r="E190" s="19"/>
      <c r="F190" s="76" t="s">
        <v>614</v>
      </c>
      <c r="G190" s="18" t="s">
        <v>21</v>
      </c>
      <c r="H190" s="19" t="s">
        <v>44</v>
      </c>
      <c r="I190" s="19" t="s">
        <v>612</v>
      </c>
      <c r="J190" s="48">
        <v>40230</v>
      </c>
      <c r="K190" s="18">
        <f t="shared" ca="1" si="1"/>
        <v>16</v>
      </c>
      <c r="L190" s="19" t="s">
        <v>45</v>
      </c>
      <c r="M190" s="19" t="s">
        <v>25</v>
      </c>
      <c r="N190" s="19" t="s">
        <v>26</v>
      </c>
      <c r="O190" s="18" t="s">
        <v>27</v>
      </c>
      <c r="P190" s="19"/>
      <c r="Q190" s="19"/>
      <c r="R190" s="26"/>
      <c r="S190" s="19"/>
      <c r="T190" s="19" t="s">
        <v>350</v>
      </c>
    </row>
    <row r="191" spans="1:20" s="2" customFormat="1" ht="12" customHeight="1">
      <c r="A191" s="13">
        <v>184</v>
      </c>
      <c r="B191" s="26"/>
      <c r="C191" s="74" t="s">
        <v>172</v>
      </c>
      <c r="D191" s="74" t="s">
        <v>172</v>
      </c>
      <c r="E191" s="19"/>
      <c r="F191" s="76" t="s">
        <v>615</v>
      </c>
      <c r="G191" s="18" t="s">
        <v>39</v>
      </c>
      <c r="H191" s="19" t="s">
        <v>44</v>
      </c>
      <c r="I191" s="19" t="s">
        <v>610</v>
      </c>
      <c r="J191" s="48">
        <v>41570</v>
      </c>
      <c r="K191" s="18">
        <f t="shared" ca="1" si="1"/>
        <v>12</v>
      </c>
      <c r="L191" s="19" t="s">
        <v>45</v>
      </c>
      <c r="M191" s="19" t="s">
        <v>25</v>
      </c>
      <c r="N191" s="19" t="s">
        <v>26</v>
      </c>
      <c r="O191" s="18" t="s">
        <v>27</v>
      </c>
      <c r="P191" s="19"/>
      <c r="Q191" s="19"/>
      <c r="R191" s="26"/>
      <c r="S191" s="19"/>
      <c r="T191" s="19" t="s">
        <v>350</v>
      </c>
    </row>
    <row r="192" spans="1:20" s="2" customFormat="1" ht="12" customHeight="1">
      <c r="A192" s="18">
        <v>185</v>
      </c>
      <c r="B192" s="26"/>
      <c r="C192" s="74" t="s">
        <v>172</v>
      </c>
      <c r="D192" s="74" t="s">
        <v>172</v>
      </c>
      <c r="E192" s="19"/>
      <c r="F192" s="76" t="s">
        <v>616</v>
      </c>
      <c r="G192" s="18" t="s">
        <v>39</v>
      </c>
      <c r="H192" s="19" t="s">
        <v>44</v>
      </c>
      <c r="I192" s="19" t="s">
        <v>610</v>
      </c>
      <c r="J192" s="48">
        <v>43126</v>
      </c>
      <c r="K192" s="18">
        <f t="shared" ca="1" si="1"/>
        <v>8</v>
      </c>
      <c r="L192" s="19" t="s">
        <v>45</v>
      </c>
      <c r="M192" s="19" t="s">
        <v>25</v>
      </c>
      <c r="N192" s="19" t="s">
        <v>26</v>
      </c>
      <c r="O192" s="18" t="s">
        <v>27</v>
      </c>
      <c r="P192" s="35" t="s">
        <v>286</v>
      </c>
      <c r="Q192" s="19" t="s">
        <v>63</v>
      </c>
      <c r="R192" s="26"/>
      <c r="S192" s="19"/>
      <c r="T192" s="19" t="s">
        <v>350</v>
      </c>
    </row>
    <row r="193" spans="1:20" s="2" customFormat="1" ht="12" customHeight="1">
      <c r="A193" s="13">
        <v>186</v>
      </c>
      <c r="B193" s="32"/>
      <c r="C193" s="74" t="s">
        <v>172</v>
      </c>
      <c r="D193" s="74" t="s">
        <v>172</v>
      </c>
      <c r="E193" s="19"/>
      <c r="F193" s="76" t="s">
        <v>617</v>
      </c>
      <c r="G193" s="18" t="s">
        <v>39</v>
      </c>
      <c r="H193" s="19" t="s">
        <v>44</v>
      </c>
      <c r="I193" s="19" t="s">
        <v>618</v>
      </c>
      <c r="J193" s="48">
        <v>44241</v>
      </c>
      <c r="K193" s="18">
        <f t="shared" ca="1" si="1"/>
        <v>5</v>
      </c>
      <c r="L193" s="19" t="s">
        <v>45</v>
      </c>
      <c r="M193" s="19" t="s">
        <v>25</v>
      </c>
      <c r="N193" s="19" t="s">
        <v>26</v>
      </c>
      <c r="O193" s="18" t="s">
        <v>27</v>
      </c>
      <c r="P193" s="35" t="s">
        <v>286</v>
      </c>
      <c r="Q193" s="19" t="s">
        <v>63</v>
      </c>
      <c r="R193" s="32"/>
      <c r="S193" s="19"/>
      <c r="T193" s="19" t="s">
        <v>350</v>
      </c>
    </row>
    <row r="194" spans="1:20" s="2" customFormat="1" ht="12" customHeight="1">
      <c r="A194" s="13">
        <v>187</v>
      </c>
      <c r="B194" s="20" t="s">
        <v>288</v>
      </c>
      <c r="C194" s="41" t="s">
        <v>619</v>
      </c>
      <c r="D194" s="41" t="s">
        <v>620</v>
      </c>
      <c r="E194" s="38" t="s">
        <v>289</v>
      </c>
      <c r="F194" s="38" t="s">
        <v>289</v>
      </c>
      <c r="G194" s="24" t="s">
        <v>21</v>
      </c>
      <c r="H194" s="25" t="s">
        <v>22</v>
      </c>
      <c r="I194" s="25" t="s">
        <v>290</v>
      </c>
      <c r="J194" s="51">
        <v>25422</v>
      </c>
      <c r="K194" s="52">
        <f t="shared" ca="1" si="1"/>
        <v>57</v>
      </c>
      <c r="L194" s="25" t="s">
        <v>24</v>
      </c>
      <c r="M194" s="25" t="s">
        <v>25</v>
      </c>
      <c r="N194" s="25" t="s">
        <v>26</v>
      </c>
      <c r="O194" s="24" t="s">
        <v>27</v>
      </c>
      <c r="P194" s="25" t="s">
        <v>34</v>
      </c>
      <c r="Q194" s="25" t="s">
        <v>29</v>
      </c>
      <c r="R194" s="20" t="s">
        <v>36</v>
      </c>
      <c r="S194" s="19"/>
      <c r="T194" s="19" t="s">
        <v>353</v>
      </c>
    </row>
    <row r="195" spans="1:20" s="2" customFormat="1" ht="12" customHeight="1">
      <c r="A195" s="18">
        <v>188</v>
      </c>
      <c r="B195" s="26"/>
      <c r="C195" s="42" t="s">
        <v>619</v>
      </c>
      <c r="D195" s="42" t="s">
        <v>621</v>
      </c>
      <c r="E195" s="29"/>
      <c r="F195" s="29" t="s">
        <v>291</v>
      </c>
      <c r="G195" s="31" t="s">
        <v>39</v>
      </c>
      <c r="H195" s="29" t="s">
        <v>40</v>
      </c>
      <c r="I195" s="29" t="s">
        <v>292</v>
      </c>
      <c r="J195" s="54">
        <v>26784</v>
      </c>
      <c r="K195" s="55">
        <f t="shared" ca="1" si="1"/>
        <v>53</v>
      </c>
      <c r="L195" s="29" t="s">
        <v>24</v>
      </c>
      <c r="M195" s="29" t="s">
        <v>25</v>
      </c>
      <c r="N195" s="29" t="s">
        <v>26</v>
      </c>
      <c r="O195" s="31" t="s">
        <v>112</v>
      </c>
      <c r="P195" s="29" t="s">
        <v>34</v>
      </c>
      <c r="Q195" s="29" t="s">
        <v>42</v>
      </c>
      <c r="R195" s="26"/>
      <c r="S195" s="19"/>
      <c r="T195" s="19" t="s">
        <v>353</v>
      </c>
    </row>
    <row r="196" spans="1:20" s="2" customFormat="1" ht="12" customHeight="1">
      <c r="A196" s="13">
        <v>189</v>
      </c>
      <c r="B196" s="26"/>
      <c r="C196" s="42" t="s">
        <v>619</v>
      </c>
      <c r="D196" s="42" t="s">
        <v>622</v>
      </c>
      <c r="E196" s="29"/>
      <c r="F196" s="29" t="s">
        <v>293</v>
      </c>
      <c r="G196" s="31" t="s">
        <v>39</v>
      </c>
      <c r="H196" s="29" t="s">
        <v>44</v>
      </c>
      <c r="I196" s="29" t="s">
        <v>23</v>
      </c>
      <c r="J196" s="54">
        <v>36460</v>
      </c>
      <c r="K196" s="55">
        <f t="shared" ca="1" si="1"/>
        <v>26</v>
      </c>
      <c r="L196" s="29" t="s">
        <v>45</v>
      </c>
      <c r="M196" s="29" t="s">
        <v>25</v>
      </c>
      <c r="N196" s="29" t="s">
        <v>26</v>
      </c>
      <c r="O196" s="31" t="s">
        <v>27</v>
      </c>
      <c r="P196" s="29" t="s">
        <v>68</v>
      </c>
      <c r="Q196" s="29" t="s">
        <v>50</v>
      </c>
      <c r="R196" s="26"/>
      <c r="S196" s="19"/>
      <c r="T196" s="19" t="s">
        <v>353</v>
      </c>
    </row>
    <row r="197" spans="1:20" s="2" customFormat="1" ht="12" customHeight="1">
      <c r="A197" s="13">
        <v>190</v>
      </c>
      <c r="B197" s="32"/>
      <c r="C197" s="43" t="s">
        <v>619</v>
      </c>
      <c r="D197" s="43" t="s">
        <v>623</v>
      </c>
      <c r="E197" s="35"/>
      <c r="F197" s="35" t="s">
        <v>294</v>
      </c>
      <c r="G197" s="37" t="s">
        <v>39</v>
      </c>
      <c r="H197" s="35" t="s">
        <v>44</v>
      </c>
      <c r="I197" s="35" t="s">
        <v>23</v>
      </c>
      <c r="J197" s="57">
        <v>38918</v>
      </c>
      <c r="K197" s="58">
        <f t="shared" ca="1" si="1"/>
        <v>20</v>
      </c>
      <c r="L197" s="35" t="s">
        <v>45</v>
      </c>
      <c r="M197" s="35" t="s">
        <v>25</v>
      </c>
      <c r="N197" s="35" t="s">
        <v>26</v>
      </c>
      <c r="O197" s="37" t="s">
        <v>27</v>
      </c>
      <c r="P197" s="35" t="s">
        <v>61</v>
      </c>
      <c r="Q197" s="35" t="s">
        <v>50</v>
      </c>
      <c r="R197" s="32"/>
      <c r="S197" s="19"/>
      <c r="T197" s="19" t="s">
        <v>353</v>
      </c>
    </row>
    <row r="198" spans="1:20" s="2" customFormat="1" ht="12" customHeight="1">
      <c r="A198" s="18">
        <v>191</v>
      </c>
      <c r="B198" s="20" t="s">
        <v>624</v>
      </c>
      <c r="C198" s="21" t="s">
        <v>625</v>
      </c>
      <c r="D198" s="22" t="s">
        <v>626</v>
      </c>
      <c r="E198" s="39" t="s">
        <v>627</v>
      </c>
      <c r="F198" s="39" t="s">
        <v>627</v>
      </c>
      <c r="G198" s="24" t="s">
        <v>21</v>
      </c>
      <c r="H198" s="25" t="s">
        <v>22</v>
      </c>
      <c r="I198" s="25" t="s">
        <v>628</v>
      </c>
      <c r="J198" s="51">
        <v>16132</v>
      </c>
      <c r="K198" s="52">
        <f t="shared" ca="1" si="1"/>
        <v>82</v>
      </c>
      <c r="L198" s="25" t="s">
        <v>24</v>
      </c>
      <c r="M198" s="25" t="s">
        <v>25</v>
      </c>
      <c r="N198" s="25" t="s">
        <v>26</v>
      </c>
      <c r="O198" s="24" t="s">
        <v>172</v>
      </c>
      <c r="P198" s="25" t="s">
        <v>34</v>
      </c>
      <c r="Q198" s="19" t="s">
        <v>629</v>
      </c>
      <c r="R198" s="20" t="s">
        <v>30</v>
      </c>
      <c r="S198" s="19"/>
      <c r="T198" s="19" t="s">
        <v>350</v>
      </c>
    </row>
    <row r="199" spans="1:20" s="2" customFormat="1" ht="12" customHeight="1">
      <c r="A199" s="13">
        <v>192</v>
      </c>
      <c r="B199" s="26"/>
      <c r="C199" s="27" t="s">
        <v>625</v>
      </c>
      <c r="D199" s="28" t="s">
        <v>630</v>
      </c>
      <c r="E199" s="29"/>
      <c r="F199" s="29" t="s">
        <v>631</v>
      </c>
      <c r="G199" s="31" t="s">
        <v>39</v>
      </c>
      <c r="H199" s="29" t="s">
        <v>40</v>
      </c>
      <c r="I199" s="29" t="s">
        <v>97</v>
      </c>
      <c r="J199" s="54">
        <v>24356</v>
      </c>
      <c r="K199" s="55">
        <f t="shared" ca="1" si="1"/>
        <v>60</v>
      </c>
      <c r="L199" s="29" t="s">
        <v>24</v>
      </c>
      <c r="M199" s="29" t="s">
        <v>25</v>
      </c>
      <c r="N199" s="29" t="s">
        <v>26</v>
      </c>
      <c r="O199" s="31" t="s">
        <v>27</v>
      </c>
      <c r="P199" s="29" t="s">
        <v>28</v>
      </c>
      <c r="Q199" s="19" t="s">
        <v>42</v>
      </c>
      <c r="R199" s="26"/>
      <c r="S199" s="19"/>
      <c r="T199" s="19" t="s">
        <v>350</v>
      </c>
    </row>
    <row r="200" spans="1:20" s="2" customFormat="1" ht="12" customHeight="1">
      <c r="A200" s="13">
        <v>193</v>
      </c>
      <c r="B200" s="26"/>
      <c r="C200" s="27" t="s">
        <v>625</v>
      </c>
      <c r="D200" s="28" t="s">
        <v>632</v>
      </c>
      <c r="E200" s="29"/>
      <c r="F200" s="29" t="s">
        <v>633</v>
      </c>
      <c r="G200" s="31" t="s">
        <v>21</v>
      </c>
      <c r="H200" s="29" t="s">
        <v>44</v>
      </c>
      <c r="I200" s="29" t="s">
        <v>23</v>
      </c>
      <c r="J200" s="54">
        <v>39702</v>
      </c>
      <c r="K200" s="55">
        <f t="shared" ca="1" si="1"/>
        <v>18</v>
      </c>
      <c r="L200" s="29" t="s">
        <v>45</v>
      </c>
      <c r="M200" s="29" t="s">
        <v>25</v>
      </c>
      <c r="N200" s="29" t="s">
        <v>26</v>
      </c>
      <c r="O200" s="31" t="s">
        <v>27</v>
      </c>
      <c r="P200" s="29" t="s">
        <v>34</v>
      </c>
      <c r="Q200" s="19" t="s">
        <v>50</v>
      </c>
      <c r="R200" s="26"/>
      <c r="S200" s="19"/>
      <c r="T200" s="19" t="s">
        <v>350</v>
      </c>
    </row>
    <row r="201" spans="1:20" s="2" customFormat="1" ht="12" customHeight="1">
      <c r="A201" s="18">
        <v>194</v>
      </c>
      <c r="B201" s="26"/>
      <c r="C201" s="27" t="s">
        <v>625</v>
      </c>
      <c r="D201" s="28" t="s">
        <v>634</v>
      </c>
      <c r="E201" s="29"/>
      <c r="F201" s="29" t="s">
        <v>635</v>
      </c>
      <c r="G201" s="31" t="s">
        <v>21</v>
      </c>
      <c r="H201" s="29" t="s">
        <v>44</v>
      </c>
      <c r="I201" s="29" t="s">
        <v>23</v>
      </c>
      <c r="J201" s="54">
        <v>30012</v>
      </c>
      <c r="K201" s="55">
        <f t="shared" ca="1" si="1"/>
        <v>44</v>
      </c>
      <c r="L201" s="29" t="s">
        <v>45</v>
      </c>
      <c r="M201" s="29" t="s">
        <v>25</v>
      </c>
      <c r="N201" s="29" t="s">
        <v>26</v>
      </c>
      <c r="O201" s="31" t="s">
        <v>27</v>
      </c>
      <c r="P201" s="29" t="s">
        <v>61</v>
      </c>
      <c r="Q201" s="19" t="s">
        <v>99</v>
      </c>
      <c r="R201" s="26"/>
      <c r="S201" s="19"/>
      <c r="T201" s="19" t="s">
        <v>350</v>
      </c>
    </row>
    <row r="202" spans="1:20" s="2" customFormat="1" ht="12" customHeight="1">
      <c r="A202" s="13">
        <v>195</v>
      </c>
      <c r="B202" s="26"/>
      <c r="C202" s="27" t="s">
        <v>625</v>
      </c>
      <c r="D202" s="28" t="s">
        <v>636</v>
      </c>
      <c r="E202" s="29"/>
      <c r="F202" s="29" t="s">
        <v>637</v>
      </c>
      <c r="G202" s="31" t="s">
        <v>21</v>
      </c>
      <c r="H202" s="29" t="s">
        <v>44</v>
      </c>
      <c r="I202" s="29" t="s">
        <v>23</v>
      </c>
      <c r="J202" s="54">
        <v>30367</v>
      </c>
      <c r="K202" s="55">
        <f t="shared" ca="1" si="1"/>
        <v>43</v>
      </c>
      <c r="L202" s="29" t="s">
        <v>45</v>
      </c>
      <c r="M202" s="29" t="s">
        <v>25</v>
      </c>
      <c r="N202" s="29" t="s">
        <v>26</v>
      </c>
      <c r="O202" s="31" t="s">
        <v>27</v>
      </c>
      <c r="P202" s="29" t="s">
        <v>105</v>
      </c>
      <c r="Q202" s="19" t="s">
        <v>42</v>
      </c>
      <c r="R202" s="26"/>
      <c r="S202" s="19"/>
      <c r="T202" s="19" t="s">
        <v>350</v>
      </c>
    </row>
    <row r="203" spans="1:20" s="2" customFormat="1" ht="12" customHeight="1">
      <c r="A203" s="13">
        <v>196</v>
      </c>
      <c r="B203" s="32"/>
      <c r="C203" s="33" t="s">
        <v>625</v>
      </c>
      <c r="D203" s="34" t="s">
        <v>638</v>
      </c>
      <c r="E203" s="35"/>
      <c r="F203" s="35" t="s">
        <v>639</v>
      </c>
      <c r="G203" s="37" t="s">
        <v>39</v>
      </c>
      <c r="H203" s="35" t="s">
        <v>44</v>
      </c>
      <c r="I203" s="35" t="s">
        <v>119</v>
      </c>
      <c r="J203" s="57">
        <v>37869</v>
      </c>
      <c r="K203" s="58">
        <f t="shared" ca="1" si="1"/>
        <v>23</v>
      </c>
      <c r="L203" s="35" t="s">
        <v>45</v>
      </c>
      <c r="M203" s="35" t="s">
        <v>25</v>
      </c>
      <c r="N203" s="35" t="s">
        <v>26</v>
      </c>
      <c r="O203" s="37" t="s">
        <v>27</v>
      </c>
      <c r="P203" s="35" t="s">
        <v>98</v>
      </c>
      <c r="Q203" s="19" t="s">
        <v>46</v>
      </c>
      <c r="R203" s="32"/>
      <c r="S203" s="19"/>
      <c r="T203" s="19" t="s">
        <v>350</v>
      </c>
    </row>
    <row r="204" spans="1:20" s="2" customFormat="1" ht="12" customHeight="1">
      <c r="A204" s="18">
        <v>197</v>
      </c>
      <c r="B204" s="20" t="s">
        <v>295</v>
      </c>
      <c r="C204" s="21" t="s">
        <v>640</v>
      </c>
      <c r="D204" s="22" t="s">
        <v>641</v>
      </c>
      <c r="E204" s="38" t="s">
        <v>296</v>
      </c>
      <c r="F204" s="38" t="s">
        <v>296</v>
      </c>
      <c r="G204" s="24" t="s">
        <v>21</v>
      </c>
      <c r="H204" s="25" t="s">
        <v>22</v>
      </c>
      <c r="I204" s="25" t="s">
        <v>48</v>
      </c>
      <c r="J204" s="51">
        <v>31187</v>
      </c>
      <c r="K204" s="52">
        <f t="shared" ca="1" si="1"/>
        <v>41</v>
      </c>
      <c r="L204" s="25" t="s">
        <v>24</v>
      </c>
      <c r="M204" s="25" t="s">
        <v>25</v>
      </c>
      <c r="N204" s="25" t="s">
        <v>26</v>
      </c>
      <c r="O204" s="24" t="s">
        <v>27</v>
      </c>
      <c r="P204" s="25" t="s">
        <v>34</v>
      </c>
      <c r="Q204" s="25" t="s">
        <v>297</v>
      </c>
      <c r="R204" s="20" t="s">
        <v>30</v>
      </c>
      <c r="S204" s="19"/>
      <c r="T204" s="19" t="s">
        <v>350</v>
      </c>
    </row>
    <row r="205" spans="1:20" s="2" customFormat="1" ht="12" customHeight="1">
      <c r="A205" s="13">
        <v>198</v>
      </c>
      <c r="B205" s="26"/>
      <c r="C205" s="27" t="s">
        <v>640</v>
      </c>
      <c r="D205" s="28" t="s">
        <v>642</v>
      </c>
      <c r="E205" s="29"/>
      <c r="F205" s="29" t="s">
        <v>298</v>
      </c>
      <c r="G205" s="31" t="s">
        <v>39</v>
      </c>
      <c r="H205" s="29" t="s">
        <v>40</v>
      </c>
      <c r="I205" s="29" t="s">
        <v>23</v>
      </c>
      <c r="J205" s="54">
        <v>31471</v>
      </c>
      <c r="K205" s="55">
        <f t="shared" ca="1" si="1"/>
        <v>40</v>
      </c>
      <c r="L205" s="29" t="s">
        <v>24</v>
      </c>
      <c r="M205" s="29" t="s">
        <v>25</v>
      </c>
      <c r="N205" s="29" t="s">
        <v>26</v>
      </c>
      <c r="O205" s="31" t="s">
        <v>27</v>
      </c>
      <c r="P205" s="29" t="s">
        <v>34</v>
      </c>
      <c r="Q205" s="29" t="s">
        <v>42</v>
      </c>
      <c r="R205" s="26"/>
      <c r="S205" s="19"/>
      <c r="T205" s="19" t="s">
        <v>350</v>
      </c>
    </row>
    <row r="206" spans="1:20" s="2" customFormat="1" ht="12" customHeight="1">
      <c r="A206" s="13">
        <v>199</v>
      </c>
      <c r="B206" s="26"/>
      <c r="C206" s="27" t="s">
        <v>640</v>
      </c>
      <c r="D206" s="28" t="s">
        <v>643</v>
      </c>
      <c r="E206" s="29"/>
      <c r="F206" s="29" t="s">
        <v>299</v>
      </c>
      <c r="G206" s="31" t="s">
        <v>39</v>
      </c>
      <c r="H206" s="29" t="s">
        <v>44</v>
      </c>
      <c r="I206" s="29" t="s">
        <v>48</v>
      </c>
      <c r="J206" s="54">
        <v>37663</v>
      </c>
      <c r="K206" s="55">
        <f t="shared" ca="1" si="1"/>
        <v>23</v>
      </c>
      <c r="L206" s="29" t="s">
        <v>45</v>
      </c>
      <c r="M206" s="29" t="s">
        <v>25</v>
      </c>
      <c r="N206" s="29" t="s">
        <v>26</v>
      </c>
      <c r="O206" s="31" t="s">
        <v>27</v>
      </c>
      <c r="P206" s="29" t="s">
        <v>34</v>
      </c>
      <c r="Q206" s="29" t="s">
        <v>50</v>
      </c>
      <c r="R206" s="26"/>
      <c r="S206" s="19"/>
      <c r="T206" s="19" t="s">
        <v>350</v>
      </c>
    </row>
    <row r="207" spans="1:20" s="2" customFormat="1" ht="12" customHeight="1">
      <c r="A207" s="18">
        <v>200</v>
      </c>
      <c r="B207" s="32"/>
      <c r="C207" s="33" t="s">
        <v>640</v>
      </c>
      <c r="D207" s="34" t="s">
        <v>644</v>
      </c>
      <c r="E207" s="35"/>
      <c r="F207" s="35" t="s">
        <v>300</v>
      </c>
      <c r="G207" s="37" t="s">
        <v>21</v>
      </c>
      <c r="H207" s="35" t="s">
        <v>44</v>
      </c>
      <c r="I207" s="35" t="s">
        <v>48</v>
      </c>
      <c r="J207" s="57">
        <v>42768</v>
      </c>
      <c r="K207" s="58">
        <f t="shared" ca="1" si="1"/>
        <v>9</v>
      </c>
      <c r="L207" s="35" t="s">
        <v>45</v>
      </c>
      <c r="M207" s="35" t="s">
        <v>25</v>
      </c>
      <c r="N207" s="35" t="s">
        <v>26</v>
      </c>
      <c r="O207" s="37" t="s">
        <v>27</v>
      </c>
      <c r="P207" s="35" t="s">
        <v>62</v>
      </c>
      <c r="Q207" s="35" t="s">
        <v>63</v>
      </c>
      <c r="R207" s="32"/>
      <c r="S207" s="19"/>
      <c r="T207" s="19" t="s">
        <v>350</v>
      </c>
    </row>
    <row r="208" spans="1:20" s="2" customFormat="1" ht="12" customHeight="1">
      <c r="A208" s="13">
        <v>201</v>
      </c>
      <c r="B208" s="20" t="s">
        <v>301</v>
      </c>
      <c r="C208" s="21" t="s">
        <v>645</v>
      </c>
      <c r="D208" s="22" t="s">
        <v>646</v>
      </c>
      <c r="E208" s="38" t="s">
        <v>302</v>
      </c>
      <c r="F208" s="38" t="s">
        <v>302</v>
      </c>
      <c r="G208" s="24" t="s">
        <v>39</v>
      </c>
      <c r="H208" s="25" t="s">
        <v>22</v>
      </c>
      <c r="I208" s="25" t="s">
        <v>23</v>
      </c>
      <c r="J208" s="51">
        <v>22792</v>
      </c>
      <c r="K208" s="52">
        <f t="shared" ca="1" si="1"/>
        <v>64</v>
      </c>
      <c r="L208" s="25" t="s">
        <v>53</v>
      </c>
      <c r="M208" s="25" t="s">
        <v>25</v>
      </c>
      <c r="N208" s="25" t="s">
        <v>26</v>
      </c>
      <c r="O208" s="24" t="s">
        <v>27</v>
      </c>
      <c r="P208" s="25" t="s">
        <v>34</v>
      </c>
      <c r="Q208" s="25" t="s">
        <v>42</v>
      </c>
      <c r="R208" s="20" t="s">
        <v>36</v>
      </c>
      <c r="S208" s="19"/>
      <c r="T208" s="19" t="s">
        <v>353</v>
      </c>
    </row>
    <row r="209" spans="1:20" s="2" customFormat="1" ht="12" customHeight="1">
      <c r="A209" s="13">
        <v>202</v>
      </c>
      <c r="B209" s="26"/>
      <c r="C209" s="27" t="s">
        <v>645</v>
      </c>
      <c r="D209" s="28" t="s">
        <v>647</v>
      </c>
      <c r="E209" s="29"/>
      <c r="F209" s="29" t="s">
        <v>303</v>
      </c>
      <c r="G209" s="31" t="s">
        <v>21</v>
      </c>
      <c r="H209" s="29" t="s">
        <v>44</v>
      </c>
      <c r="I209" s="29" t="s">
        <v>23</v>
      </c>
      <c r="J209" s="54">
        <v>35653</v>
      </c>
      <c r="K209" s="55">
        <f t="shared" ca="1" si="1"/>
        <v>29</v>
      </c>
      <c r="L209" s="29" t="s">
        <v>45</v>
      </c>
      <c r="M209" s="29" t="s">
        <v>25</v>
      </c>
      <c r="N209" s="29" t="s">
        <v>26</v>
      </c>
      <c r="O209" s="31" t="s">
        <v>27</v>
      </c>
      <c r="P209" s="29" t="s">
        <v>34</v>
      </c>
      <c r="Q209" s="29" t="s">
        <v>46</v>
      </c>
      <c r="R209" s="26"/>
      <c r="S209" s="19"/>
      <c r="T209" s="19" t="s">
        <v>353</v>
      </c>
    </row>
    <row r="210" spans="1:20" s="2" customFormat="1" ht="12" customHeight="1">
      <c r="A210" s="18">
        <v>203</v>
      </c>
      <c r="B210" s="32"/>
      <c r="C210" s="33" t="s">
        <v>645</v>
      </c>
      <c r="D210" s="34" t="s">
        <v>648</v>
      </c>
      <c r="E210" s="35"/>
      <c r="F210" s="35" t="s">
        <v>304</v>
      </c>
      <c r="G210" s="37" t="s">
        <v>39</v>
      </c>
      <c r="H210" s="35" t="s">
        <v>44</v>
      </c>
      <c r="I210" s="35" t="s">
        <v>23</v>
      </c>
      <c r="J210" s="57">
        <v>37172</v>
      </c>
      <c r="K210" s="58">
        <f t="shared" ca="1" si="1"/>
        <v>25</v>
      </c>
      <c r="L210" s="35" t="s">
        <v>45</v>
      </c>
      <c r="M210" s="35" t="s">
        <v>25</v>
      </c>
      <c r="N210" s="35" t="s">
        <v>26</v>
      </c>
      <c r="O210" s="37" t="s">
        <v>27</v>
      </c>
      <c r="P210" s="35" t="s">
        <v>34</v>
      </c>
      <c r="Q210" s="35" t="s">
        <v>50</v>
      </c>
      <c r="R210" s="32"/>
      <c r="S210" s="19"/>
      <c r="T210" s="19" t="s">
        <v>353</v>
      </c>
    </row>
    <row r="211" spans="1:20" s="2" customFormat="1" ht="12" customHeight="1">
      <c r="A211" s="13">
        <v>204</v>
      </c>
      <c r="B211" s="20" t="s">
        <v>649</v>
      </c>
      <c r="C211" s="21" t="s">
        <v>650</v>
      </c>
      <c r="D211" s="22" t="s">
        <v>651</v>
      </c>
      <c r="E211" s="39" t="s">
        <v>652</v>
      </c>
      <c r="F211" s="39" t="s">
        <v>652</v>
      </c>
      <c r="G211" s="24" t="s">
        <v>21</v>
      </c>
      <c r="H211" s="25" t="s">
        <v>22</v>
      </c>
      <c r="I211" s="69" t="s">
        <v>97</v>
      </c>
      <c r="J211" s="51">
        <v>20288</v>
      </c>
      <c r="K211" s="52">
        <f t="shared" ca="1" si="1"/>
        <v>71</v>
      </c>
      <c r="L211" s="25" t="s">
        <v>24</v>
      </c>
      <c r="M211" s="25" t="s">
        <v>25</v>
      </c>
      <c r="N211" s="25" t="s">
        <v>26</v>
      </c>
      <c r="O211" s="24" t="s">
        <v>27</v>
      </c>
      <c r="P211" s="25" t="s">
        <v>34</v>
      </c>
      <c r="Q211" s="25" t="s">
        <v>629</v>
      </c>
      <c r="R211" s="20" t="s">
        <v>36</v>
      </c>
      <c r="S211" s="19"/>
      <c r="T211" s="19" t="s">
        <v>353</v>
      </c>
    </row>
    <row r="212" spans="1:20" s="2" customFormat="1" ht="12" customHeight="1">
      <c r="A212" s="13">
        <v>205</v>
      </c>
      <c r="B212" s="32"/>
      <c r="C212" s="33" t="s">
        <v>650</v>
      </c>
      <c r="D212" s="34" t="s">
        <v>653</v>
      </c>
      <c r="E212" s="35"/>
      <c r="F212" s="36" t="s">
        <v>305</v>
      </c>
      <c r="G212" s="37" t="s">
        <v>39</v>
      </c>
      <c r="H212" s="35" t="s">
        <v>40</v>
      </c>
      <c r="I212" s="71" t="s">
        <v>23</v>
      </c>
      <c r="J212" s="57">
        <v>21338</v>
      </c>
      <c r="K212" s="58">
        <f t="shared" ca="1" si="1"/>
        <v>68</v>
      </c>
      <c r="L212" s="35" t="s">
        <v>24</v>
      </c>
      <c r="M212" s="35" t="s">
        <v>25</v>
      </c>
      <c r="N212" s="35" t="s">
        <v>26</v>
      </c>
      <c r="O212" s="37" t="s">
        <v>27</v>
      </c>
      <c r="P212" s="35" t="s">
        <v>98</v>
      </c>
      <c r="Q212" s="35" t="s">
        <v>42</v>
      </c>
      <c r="R212" s="32"/>
      <c r="S212" s="19"/>
      <c r="T212" s="19" t="s">
        <v>353</v>
      </c>
    </row>
    <row r="213" spans="1:20" s="2" customFormat="1" ht="12" customHeight="1">
      <c r="A213" s="18">
        <v>206</v>
      </c>
      <c r="B213" s="20" t="s">
        <v>306</v>
      </c>
      <c r="C213" s="21" t="s">
        <v>654</v>
      </c>
      <c r="D213" s="22" t="s">
        <v>655</v>
      </c>
      <c r="E213" s="39" t="s">
        <v>314</v>
      </c>
      <c r="F213" s="59" t="s">
        <v>314</v>
      </c>
      <c r="G213" s="24" t="s">
        <v>21</v>
      </c>
      <c r="H213" s="25" t="s">
        <v>22</v>
      </c>
      <c r="I213" s="69" t="s">
        <v>23</v>
      </c>
      <c r="J213" s="51">
        <v>27220</v>
      </c>
      <c r="K213" s="52">
        <f t="shared" ca="1" si="1"/>
        <v>52</v>
      </c>
      <c r="L213" s="25" t="s">
        <v>24</v>
      </c>
      <c r="M213" s="25" t="s">
        <v>25</v>
      </c>
      <c r="N213" s="25" t="s">
        <v>26</v>
      </c>
      <c r="O213" s="24" t="s">
        <v>27</v>
      </c>
      <c r="P213" s="25" t="s">
        <v>98</v>
      </c>
      <c r="Q213" s="25" t="s">
        <v>99</v>
      </c>
      <c r="R213" s="20" t="s">
        <v>30</v>
      </c>
      <c r="S213" s="19"/>
      <c r="T213" s="19" t="s">
        <v>350</v>
      </c>
    </row>
    <row r="214" spans="1:20" s="2" customFormat="1" ht="12" customHeight="1">
      <c r="A214" s="13">
        <v>207</v>
      </c>
      <c r="B214" s="26"/>
      <c r="C214" s="27" t="s">
        <v>654</v>
      </c>
      <c r="D214" s="28" t="s">
        <v>656</v>
      </c>
      <c r="E214" s="29"/>
      <c r="F214" s="30" t="s">
        <v>315</v>
      </c>
      <c r="G214" s="31" t="s">
        <v>39</v>
      </c>
      <c r="H214" s="29" t="s">
        <v>40</v>
      </c>
      <c r="I214" s="70" t="s">
        <v>125</v>
      </c>
      <c r="J214" s="54">
        <v>27315</v>
      </c>
      <c r="K214" s="55">
        <f t="shared" ca="1" si="1"/>
        <v>52</v>
      </c>
      <c r="L214" s="29" t="s">
        <v>24</v>
      </c>
      <c r="M214" s="29" t="s">
        <v>25</v>
      </c>
      <c r="N214" s="29" t="s">
        <v>26</v>
      </c>
      <c r="O214" s="31" t="s">
        <v>27</v>
      </c>
      <c r="P214" s="29" t="s">
        <v>28</v>
      </c>
      <c r="Q214" s="29" t="s">
        <v>42</v>
      </c>
      <c r="R214" s="26"/>
      <c r="S214" s="19"/>
      <c r="T214" s="19" t="s">
        <v>350</v>
      </c>
    </row>
    <row r="215" spans="1:20" s="2" customFormat="1" ht="12" customHeight="1">
      <c r="A215" s="13">
        <v>208</v>
      </c>
      <c r="B215" s="26"/>
      <c r="C215" s="27" t="s">
        <v>654</v>
      </c>
      <c r="D215" s="28" t="s">
        <v>657</v>
      </c>
      <c r="E215" s="29"/>
      <c r="F215" s="30" t="s">
        <v>316</v>
      </c>
      <c r="G215" s="31" t="s">
        <v>21</v>
      </c>
      <c r="H215" s="29" t="s">
        <v>44</v>
      </c>
      <c r="I215" s="29" t="s">
        <v>23</v>
      </c>
      <c r="J215" s="54">
        <v>34895</v>
      </c>
      <c r="K215" s="55">
        <f t="shared" ca="1" si="1"/>
        <v>31</v>
      </c>
      <c r="L215" s="29" t="s">
        <v>45</v>
      </c>
      <c r="M215" s="29" t="s">
        <v>25</v>
      </c>
      <c r="N215" s="29" t="s">
        <v>26</v>
      </c>
      <c r="O215" s="31" t="s">
        <v>27</v>
      </c>
      <c r="P215" s="29" t="s">
        <v>28</v>
      </c>
      <c r="Q215" s="29" t="s">
        <v>35</v>
      </c>
      <c r="R215" s="26"/>
      <c r="S215" s="19"/>
      <c r="T215" s="19" t="s">
        <v>350</v>
      </c>
    </row>
    <row r="216" spans="1:20" s="2" customFormat="1" ht="12" customHeight="1">
      <c r="A216" s="18">
        <v>209</v>
      </c>
      <c r="B216" s="26"/>
      <c r="C216" s="27" t="s">
        <v>654</v>
      </c>
      <c r="D216" s="28" t="s">
        <v>658</v>
      </c>
      <c r="E216" s="29"/>
      <c r="F216" s="30" t="s">
        <v>317</v>
      </c>
      <c r="G216" s="31" t="s">
        <v>39</v>
      </c>
      <c r="H216" s="29" t="s">
        <v>44</v>
      </c>
      <c r="I216" s="29" t="s">
        <v>23</v>
      </c>
      <c r="J216" s="54">
        <v>37713</v>
      </c>
      <c r="K216" s="55">
        <f t="shared" ca="1" si="1"/>
        <v>23</v>
      </c>
      <c r="L216" s="29" t="s">
        <v>45</v>
      </c>
      <c r="M216" s="29" t="s">
        <v>25</v>
      </c>
      <c r="N216" s="29" t="s">
        <v>26</v>
      </c>
      <c r="O216" s="31" t="s">
        <v>27</v>
      </c>
      <c r="P216" s="29" t="s">
        <v>28</v>
      </c>
      <c r="Q216" s="29" t="s">
        <v>50</v>
      </c>
      <c r="R216" s="26"/>
      <c r="S216" s="19"/>
      <c r="T216" s="19" t="s">
        <v>350</v>
      </c>
    </row>
    <row r="217" spans="1:20" s="2" customFormat="1" ht="12" customHeight="1">
      <c r="A217" s="13">
        <v>210</v>
      </c>
      <c r="B217" s="32"/>
      <c r="C217" s="33" t="s">
        <v>654</v>
      </c>
      <c r="D217" s="34" t="s">
        <v>659</v>
      </c>
      <c r="E217" s="35"/>
      <c r="F217" s="36" t="s">
        <v>318</v>
      </c>
      <c r="G217" s="37" t="s">
        <v>21</v>
      </c>
      <c r="H217" s="35" t="s">
        <v>44</v>
      </c>
      <c r="I217" s="35" t="s">
        <v>23</v>
      </c>
      <c r="J217" s="57">
        <v>40962</v>
      </c>
      <c r="K217" s="58">
        <f t="shared" ca="1" si="1"/>
        <v>14</v>
      </c>
      <c r="L217" s="35" t="s">
        <v>45</v>
      </c>
      <c r="M217" s="35" t="s">
        <v>25</v>
      </c>
      <c r="N217" s="35" t="s">
        <v>26</v>
      </c>
      <c r="O217" s="37" t="s">
        <v>27</v>
      </c>
      <c r="P217" s="35" t="s">
        <v>61</v>
      </c>
      <c r="Q217" s="35" t="s">
        <v>50</v>
      </c>
      <c r="R217" s="32"/>
      <c r="S217" s="19"/>
      <c r="T217" s="19" t="s">
        <v>350</v>
      </c>
    </row>
    <row r="218" spans="1:20" s="2" customFormat="1" ht="12" customHeight="1">
      <c r="A218" s="13">
        <v>211</v>
      </c>
      <c r="B218" s="64" t="s">
        <v>313</v>
      </c>
      <c r="C218" s="78"/>
      <c r="D218" s="79"/>
      <c r="E218" s="66" t="s">
        <v>58</v>
      </c>
      <c r="F218" s="80"/>
      <c r="G218" s="66"/>
      <c r="H218" s="68"/>
      <c r="I218" s="68"/>
      <c r="J218" s="82"/>
      <c r="K218" s="83"/>
      <c r="L218" s="68"/>
      <c r="M218" s="68"/>
      <c r="N218" s="68"/>
      <c r="O218" s="66"/>
      <c r="P218" s="68"/>
      <c r="Q218" s="68"/>
      <c r="R218" s="66" t="s">
        <v>58</v>
      </c>
      <c r="S218" s="19"/>
      <c r="T218" s="66" t="s">
        <v>172</v>
      </c>
    </row>
    <row r="219" spans="1:20" s="2" customFormat="1" ht="12" customHeight="1">
      <c r="A219" s="18">
        <v>212</v>
      </c>
      <c r="B219" s="20" t="s">
        <v>319</v>
      </c>
      <c r="C219" s="41" t="s">
        <v>660</v>
      </c>
      <c r="D219" s="41" t="s">
        <v>661</v>
      </c>
      <c r="E219" s="38" t="s">
        <v>320</v>
      </c>
      <c r="F219" s="38" t="s">
        <v>320</v>
      </c>
      <c r="G219" s="24" t="s">
        <v>21</v>
      </c>
      <c r="H219" s="25" t="s">
        <v>22</v>
      </c>
      <c r="I219" s="25" t="s">
        <v>119</v>
      </c>
      <c r="J219" s="51">
        <v>34745</v>
      </c>
      <c r="K219" s="52">
        <f t="shared" ca="1" si="1"/>
        <v>31</v>
      </c>
      <c r="L219" s="25" t="s">
        <v>24</v>
      </c>
      <c r="M219" s="25" t="s">
        <v>25</v>
      </c>
      <c r="N219" s="25" t="s">
        <v>321</v>
      </c>
      <c r="O219" s="24" t="s">
        <v>27</v>
      </c>
      <c r="P219" s="25" t="s">
        <v>204</v>
      </c>
      <c r="Q219" s="25" t="s">
        <v>35</v>
      </c>
      <c r="R219" s="20" t="s">
        <v>36</v>
      </c>
      <c r="S219" s="19"/>
      <c r="T219" s="19" t="s">
        <v>353</v>
      </c>
    </row>
    <row r="220" spans="1:20" s="2" customFormat="1" ht="12" customHeight="1">
      <c r="A220" s="13">
        <v>213</v>
      </c>
      <c r="B220" s="26"/>
      <c r="C220" s="42" t="s">
        <v>660</v>
      </c>
      <c r="D220" s="42" t="s">
        <v>662</v>
      </c>
      <c r="E220" s="29"/>
      <c r="F220" s="29" t="s">
        <v>322</v>
      </c>
      <c r="G220" s="31" t="s">
        <v>39</v>
      </c>
      <c r="H220" s="29" t="s">
        <v>40</v>
      </c>
      <c r="I220" s="29" t="s">
        <v>97</v>
      </c>
      <c r="J220" s="54">
        <v>34518</v>
      </c>
      <c r="K220" s="55">
        <f t="shared" ca="1" si="1"/>
        <v>32</v>
      </c>
      <c r="L220" s="29" t="s">
        <v>24</v>
      </c>
      <c r="M220" s="29" t="s">
        <v>25</v>
      </c>
      <c r="N220" s="29" t="s">
        <v>26</v>
      </c>
      <c r="O220" s="31" t="s">
        <v>27</v>
      </c>
      <c r="P220" s="29" t="s">
        <v>204</v>
      </c>
      <c r="Q220" s="29" t="s">
        <v>323</v>
      </c>
      <c r="R220" s="26"/>
      <c r="S220" s="19"/>
      <c r="T220" s="19" t="s">
        <v>353</v>
      </c>
    </row>
    <row r="221" spans="1:20" s="2" customFormat="1" ht="12" customHeight="1">
      <c r="A221" s="13">
        <v>214</v>
      </c>
      <c r="B221" s="26"/>
      <c r="C221" s="42" t="s">
        <v>660</v>
      </c>
      <c r="D221" s="42" t="s">
        <v>663</v>
      </c>
      <c r="E221" s="29"/>
      <c r="F221" s="29" t="s">
        <v>324</v>
      </c>
      <c r="G221" s="31" t="s">
        <v>39</v>
      </c>
      <c r="H221" s="29" t="s">
        <v>44</v>
      </c>
      <c r="I221" s="29" t="s">
        <v>23</v>
      </c>
      <c r="J221" s="54">
        <v>44092</v>
      </c>
      <c r="K221" s="55">
        <f t="shared" ca="1" si="1"/>
        <v>6</v>
      </c>
      <c r="L221" s="29" t="s">
        <v>45</v>
      </c>
      <c r="M221" s="29" t="s">
        <v>25</v>
      </c>
      <c r="N221" s="29" t="s">
        <v>26</v>
      </c>
      <c r="O221" s="31" t="s">
        <v>27</v>
      </c>
      <c r="P221" s="29" t="s">
        <v>62</v>
      </c>
      <c r="Q221" s="29" t="s">
        <v>63</v>
      </c>
      <c r="R221" s="26"/>
      <c r="S221" s="19"/>
      <c r="T221" s="19" t="s">
        <v>353</v>
      </c>
    </row>
    <row r="222" spans="1:20" s="2" customFormat="1" ht="12" customHeight="1">
      <c r="A222" s="18">
        <v>215</v>
      </c>
      <c r="B222" s="32"/>
      <c r="C222" s="33" t="s">
        <v>664</v>
      </c>
      <c r="D222" s="34" t="s">
        <v>665</v>
      </c>
      <c r="E222" s="35"/>
      <c r="F222" s="36" t="s">
        <v>325</v>
      </c>
      <c r="G222" s="37" t="s">
        <v>39</v>
      </c>
      <c r="H222" s="35" t="s">
        <v>52</v>
      </c>
      <c r="I222" s="35" t="s">
        <v>97</v>
      </c>
      <c r="J222" s="57">
        <v>24610</v>
      </c>
      <c r="K222" s="58">
        <f t="shared" ca="1" si="1"/>
        <v>59</v>
      </c>
      <c r="L222" s="35" t="s">
        <v>53</v>
      </c>
      <c r="M222" s="35" t="s">
        <v>25</v>
      </c>
      <c r="N222" s="35" t="s">
        <v>26</v>
      </c>
      <c r="O222" s="37" t="s">
        <v>27</v>
      </c>
      <c r="P222" s="35" t="s">
        <v>98</v>
      </c>
      <c r="Q222" s="35" t="s">
        <v>42</v>
      </c>
      <c r="R222" s="32"/>
      <c r="S222" s="19"/>
      <c r="T222" s="19" t="s">
        <v>353</v>
      </c>
    </row>
    <row r="223" spans="1:20" s="2" customFormat="1" ht="12" customHeight="1">
      <c r="A223" s="13">
        <v>216</v>
      </c>
      <c r="B223" s="20" t="s">
        <v>326</v>
      </c>
      <c r="C223" s="21" t="s">
        <v>666</v>
      </c>
      <c r="D223" s="22" t="s">
        <v>667</v>
      </c>
      <c r="E223" s="38" t="s">
        <v>327</v>
      </c>
      <c r="F223" s="39" t="s">
        <v>327</v>
      </c>
      <c r="G223" s="24" t="s">
        <v>21</v>
      </c>
      <c r="H223" s="25" t="s">
        <v>22</v>
      </c>
      <c r="I223" s="25" t="s">
        <v>23</v>
      </c>
      <c r="J223" s="51">
        <v>27501</v>
      </c>
      <c r="K223" s="52">
        <f t="shared" ca="1" si="1"/>
        <v>51</v>
      </c>
      <c r="L223" s="25" t="s">
        <v>24</v>
      </c>
      <c r="M223" s="25" t="s">
        <v>25</v>
      </c>
      <c r="N223" s="25" t="s">
        <v>26</v>
      </c>
      <c r="O223" s="24" t="s">
        <v>27</v>
      </c>
      <c r="P223" s="25" t="s">
        <v>34</v>
      </c>
      <c r="Q223" s="25" t="s">
        <v>35</v>
      </c>
      <c r="R223" s="20" t="s">
        <v>36</v>
      </c>
      <c r="S223" s="19"/>
      <c r="T223" s="19" t="s">
        <v>350</v>
      </c>
    </row>
    <row r="224" spans="1:20" s="2" customFormat="1" ht="12" customHeight="1">
      <c r="A224" s="13">
        <v>217</v>
      </c>
      <c r="B224" s="26"/>
      <c r="C224" s="27" t="s">
        <v>666</v>
      </c>
      <c r="D224" s="28" t="s">
        <v>668</v>
      </c>
      <c r="E224" s="29"/>
      <c r="F224" s="30" t="s">
        <v>328</v>
      </c>
      <c r="G224" s="31" t="s">
        <v>39</v>
      </c>
      <c r="H224" s="29" t="s">
        <v>40</v>
      </c>
      <c r="I224" s="29" t="s">
        <v>23</v>
      </c>
      <c r="J224" s="54">
        <v>28556</v>
      </c>
      <c r="K224" s="55">
        <f t="shared" ca="1" si="1"/>
        <v>48</v>
      </c>
      <c r="L224" s="29" t="s">
        <v>24</v>
      </c>
      <c r="M224" s="29" t="s">
        <v>25</v>
      </c>
      <c r="N224" s="29" t="s">
        <v>26</v>
      </c>
      <c r="O224" s="31" t="s">
        <v>27</v>
      </c>
      <c r="P224" s="29" t="s">
        <v>28</v>
      </c>
      <c r="Q224" s="29" t="s">
        <v>42</v>
      </c>
      <c r="R224" s="26"/>
      <c r="S224" s="19"/>
      <c r="T224" s="19" t="s">
        <v>350</v>
      </c>
    </row>
    <row r="225" spans="1:20" s="2" customFormat="1" ht="12" customHeight="1">
      <c r="A225" s="18">
        <v>218</v>
      </c>
      <c r="B225" s="32"/>
      <c r="C225" s="33" t="s">
        <v>666</v>
      </c>
      <c r="D225" s="34" t="s">
        <v>669</v>
      </c>
      <c r="E225" s="35"/>
      <c r="F225" s="36" t="s">
        <v>670</v>
      </c>
      <c r="G225" s="37" t="s">
        <v>39</v>
      </c>
      <c r="H225" s="35" t="s">
        <v>44</v>
      </c>
      <c r="I225" s="35" t="s">
        <v>23</v>
      </c>
      <c r="J225" s="57">
        <v>37864</v>
      </c>
      <c r="K225" s="58">
        <f t="shared" ca="1" si="1"/>
        <v>23</v>
      </c>
      <c r="L225" s="35" t="s">
        <v>45</v>
      </c>
      <c r="M225" s="35" t="s">
        <v>25</v>
      </c>
      <c r="N225" s="35" t="s">
        <v>26</v>
      </c>
      <c r="O225" s="37" t="s">
        <v>27</v>
      </c>
      <c r="P225" s="35" t="s">
        <v>34</v>
      </c>
      <c r="Q225" s="35" t="s">
        <v>50</v>
      </c>
      <c r="R225" s="32"/>
      <c r="S225" s="19"/>
      <c r="T225" s="19" t="s">
        <v>350</v>
      </c>
    </row>
    <row r="226" spans="1:20" s="2" customFormat="1" ht="12" customHeight="1">
      <c r="A226" s="13">
        <v>219</v>
      </c>
      <c r="B226" s="20" t="s">
        <v>329</v>
      </c>
      <c r="C226" s="21" t="s">
        <v>671</v>
      </c>
      <c r="D226" s="22" t="s">
        <v>672</v>
      </c>
      <c r="E226" s="38" t="s">
        <v>673</v>
      </c>
      <c r="F226" s="38" t="s">
        <v>673</v>
      </c>
      <c r="G226" s="24" t="s">
        <v>21</v>
      </c>
      <c r="H226" s="25" t="s">
        <v>22</v>
      </c>
      <c r="I226" s="25" t="s">
        <v>23</v>
      </c>
      <c r="J226" s="51">
        <v>34987</v>
      </c>
      <c r="K226" s="52">
        <f t="shared" ca="1" si="1"/>
        <v>31</v>
      </c>
      <c r="L226" s="25" t="s">
        <v>24</v>
      </c>
      <c r="M226" s="25" t="s">
        <v>25</v>
      </c>
      <c r="N226" s="25" t="s">
        <v>26</v>
      </c>
      <c r="O226" s="24" t="s">
        <v>27</v>
      </c>
      <c r="P226" s="25" t="s">
        <v>34</v>
      </c>
      <c r="Q226" s="25" t="s">
        <v>99</v>
      </c>
      <c r="R226" s="20" t="s">
        <v>30</v>
      </c>
      <c r="S226" s="19"/>
      <c r="T226" s="19" t="s">
        <v>350</v>
      </c>
    </row>
    <row r="227" spans="1:20" s="2" customFormat="1" ht="12" customHeight="1">
      <c r="A227" s="13">
        <v>220</v>
      </c>
      <c r="B227" s="26"/>
      <c r="C227" s="27" t="s">
        <v>671</v>
      </c>
      <c r="D227" s="28" t="s">
        <v>674</v>
      </c>
      <c r="E227" s="29"/>
      <c r="F227" s="29" t="s">
        <v>675</v>
      </c>
      <c r="G227" s="31" t="s">
        <v>21</v>
      </c>
      <c r="H227" s="29" t="s">
        <v>22</v>
      </c>
      <c r="I227" s="29" t="s">
        <v>23</v>
      </c>
      <c r="J227" s="54">
        <v>35372</v>
      </c>
      <c r="K227" s="55">
        <f t="shared" ca="1" si="1"/>
        <v>29</v>
      </c>
      <c r="L227" s="29" t="s">
        <v>24</v>
      </c>
      <c r="M227" s="29" t="s">
        <v>25</v>
      </c>
      <c r="N227" s="29" t="s">
        <v>26</v>
      </c>
      <c r="O227" s="31" t="s">
        <v>27</v>
      </c>
      <c r="P227" s="29" t="s">
        <v>34</v>
      </c>
      <c r="Q227" s="29" t="s">
        <v>42</v>
      </c>
      <c r="R227" s="26"/>
      <c r="S227" s="19"/>
      <c r="T227" s="19" t="s">
        <v>350</v>
      </c>
    </row>
    <row r="228" spans="1:20" s="2" customFormat="1" ht="12" customHeight="1">
      <c r="A228" s="18">
        <v>221</v>
      </c>
      <c r="B228" s="26"/>
      <c r="C228" s="27" t="s">
        <v>671</v>
      </c>
      <c r="D228" s="28" t="s">
        <v>676</v>
      </c>
      <c r="E228" s="29"/>
      <c r="F228" s="29" t="s">
        <v>677</v>
      </c>
      <c r="G228" s="31" t="s">
        <v>39</v>
      </c>
      <c r="H228" s="29" t="s">
        <v>44</v>
      </c>
      <c r="I228" s="29" t="s">
        <v>23</v>
      </c>
      <c r="J228" s="54">
        <v>42395</v>
      </c>
      <c r="K228" s="55">
        <f t="shared" ca="1" si="1"/>
        <v>10</v>
      </c>
      <c r="L228" s="29" t="s">
        <v>45</v>
      </c>
      <c r="M228" s="29" t="s">
        <v>25</v>
      </c>
      <c r="N228" s="29" t="s">
        <v>26</v>
      </c>
      <c r="O228" s="31" t="s">
        <v>27</v>
      </c>
      <c r="P228" s="29" t="s">
        <v>34</v>
      </c>
      <c r="Q228" s="29" t="s">
        <v>63</v>
      </c>
      <c r="R228" s="26"/>
      <c r="S228" s="19"/>
      <c r="T228" s="19" t="s">
        <v>350</v>
      </c>
    </row>
    <row r="229" spans="1:20" s="2" customFormat="1" ht="12" customHeight="1">
      <c r="A229" s="13">
        <v>222</v>
      </c>
      <c r="B229" s="32"/>
      <c r="C229" s="33" t="s">
        <v>671</v>
      </c>
      <c r="D229" s="34" t="s">
        <v>678</v>
      </c>
      <c r="E229" s="35"/>
      <c r="F229" s="35" t="s">
        <v>679</v>
      </c>
      <c r="G229" s="37" t="s">
        <v>21</v>
      </c>
      <c r="H229" s="35" t="s">
        <v>44</v>
      </c>
      <c r="I229" s="35" t="s">
        <v>23</v>
      </c>
      <c r="J229" s="57">
        <v>44548</v>
      </c>
      <c r="K229" s="58">
        <f t="shared" ca="1" si="1"/>
        <v>4</v>
      </c>
      <c r="L229" s="35" t="s">
        <v>45</v>
      </c>
      <c r="M229" s="35" t="s">
        <v>25</v>
      </c>
      <c r="N229" s="35" t="s">
        <v>26</v>
      </c>
      <c r="O229" s="37" t="s">
        <v>27</v>
      </c>
      <c r="P229" s="35" t="s">
        <v>68</v>
      </c>
      <c r="Q229" s="35" t="s">
        <v>63</v>
      </c>
      <c r="R229" s="32"/>
      <c r="S229" s="19"/>
      <c r="T229" s="19" t="s">
        <v>350</v>
      </c>
    </row>
    <row r="230" spans="1:20" s="2" customFormat="1" ht="12" customHeight="1">
      <c r="A230" s="13">
        <v>223</v>
      </c>
      <c r="B230" s="20" t="s">
        <v>330</v>
      </c>
      <c r="C230" s="21" t="s">
        <v>680</v>
      </c>
      <c r="D230" s="22" t="s">
        <v>681</v>
      </c>
      <c r="E230" s="38" t="s">
        <v>331</v>
      </c>
      <c r="F230" s="38" t="s">
        <v>331</v>
      </c>
      <c r="G230" s="24" t="s">
        <v>21</v>
      </c>
      <c r="H230" s="25" t="s">
        <v>22</v>
      </c>
      <c r="I230" s="25" t="s">
        <v>97</v>
      </c>
      <c r="J230" s="51">
        <v>23838</v>
      </c>
      <c r="K230" s="52">
        <f t="shared" ca="1" si="1"/>
        <v>61</v>
      </c>
      <c r="L230" s="25" t="s">
        <v>24</v>
      </c>
      <c r="M230" s="25" t="s">
        <v>25</v>
      </c>
      <c r="N230" s="25" t="s">
        <v>26</v>
      </c>
      <c r="O230" s="24" t="s">
        <v>27</v>
      </c>
      <c r="P230" s="25" t="s">
        <v>34</v>
      </c>
      <c r="Q230" s="25" t="s">
        <v>29</v>
      </c>
      <c r="R230" s="20" t="s">
        <v>36</v>
      </c>
      <c r="S230" s="19"/>
      <c r="T230" s="19" t="s">
        <v>353</v>
      </c>
    </row>
    <row r="231" spans="1:20" s="2" customFormat="1" ht="12" customHeight="1">
      <c r="A231" s="18">
        <v>224</v>
      </c>
      <c r="B231" s="26"/>
      <c r="C231" s="27" t="s">
        <v>680</v>
      </c>
      <c r="D231" s="28" t="s">
        <v>682</v>
      </c>
      <c r="E231" s="29"/>
      <c r="F231" s="29" t="s">
        <v>332</v>
      </c>
      <c r="G231" s="31" t="s">
        <v>39</v>
      </c>
      <c r="H231" s="29" t="s">
        <v>40</v>
      </c>
      <c r="I231" s="29" t="s">
        <v>23</v>
      </c>
      <c r="J231" s="54">
        <v>25009</v>
      </c>
      <c r="K231" s="55">
        <f t="shared" ca="1" si="1"/>
        <v>58</v>
      </c>
      <c r="L231" s="29" t="s">
        <v>24</v>
      </c>
      <c r="M231" s="29" t="s">
        <v>25</v>
      </c>
      <c r="N231" s="29" t="s">
        <v>26</v>
      </c>
      <c r="O231" s="31" t="s">
        <v>27</v>
      </c>
      <c r="P231" s="29" t="s">
        <v>34</v>
      </c>
      <c r="Q231" s="29" t="s">
        <v>42</v>
      </c>
      <c r="R231" s="26"/>
      <c r="S231" s="19"/>
      <c r="T231" s="19" t="s">
        <v>353</v>
      </c>
    </row>
    <row r="232" spans="1:20" s="2" customFormat="1" ht="12" customHeight="1">
      <c r="A232" s="13">
        <v>225</v>
      </c>
      <c r="B232" s="26"/>
      <c r="C232" s="27" t="s">
        <v>680</v>
      </c>
      <c r="D232" s="28" t="s">
        <v>683</v>
      </c>
      <c r="E232" s="29"/>
      <c r="F232" s="29" t="s">
        <v>333</v>
      </c>
      <c r="G232" s="31" t="s">
        <v>21</v>
      </c>
      <c r="H232" s="29" t="s">
        <v>44</v>
      </c>
      <c r="I232" s="29" t="s">
        <v>23</v>
      </c>
      <c r="J232" s="54">
        <v>35850</v>
      </c>
      <c r="K232" s="55">
        <f t="shared" ca="1" si="1"/>
        <v>28</v>
      </c>
      <c r="L232" s="29" t="s">
        <v>45</v>
      </c>
      <c r="M232" s="29" t="s">
        <v>25</v>
      </c>
      <c r="N232" s="29" t="s">
        <v>26</v>
      </c>
      <c r="O232" s="31" t="s">
        <v>27</v>
      </c>
      <c r="P232" s="29" t="s">
        <v>34</v>
      </c>
      <c r="Q232" s="29" t="s">
        <v>35</v>
      </c>
      <c r="R232" s="26"/>
      <c r="S232" s="19"/>
      <c r="T232" s="19" t="s">
        <v>353</v>
      </c>
    </row>
    <row r="233" spans="1:20" s="2" customFormat="1" ht="12" customHeight="1">
      <c r="A233" s="13">
        <v>226</v>
      </c>
      <c r="B233" s="32"/>
      <c r="C233" s="33" t="s">
        <v>680</v>
      </c>
      <c r="D233" s="34" t="s">
        <v>684</v>
      </c>
      <c r="E233" s="35"/>
      <c r="F233" s="35" t="s">
        <v>334</v>
      </c>
      <c r="G233" s="37" t="s">
        <v>21</v>
      </c>
      <c r="H233" s="35" t="s">
        <v>44</v>
      </c>
      <c r="I233" s="35" t="s">
        <v>23</v>
      </c>
      <c r="J233" s="57">
        <v>38549</v>
      </c>
      <c r="K233" s="58">
        <f t="shared" ca="1" si="1"/>
        <v>21</v>
      </c>
      <c r="L233" s="35" t="s">
        <v>45</v>
      </c>
      <c r="M233" s="35" t="s">
        <v>25</v>
      </c>
      <c r="N233" s="35" t="s">
        <v>26</v>
      </c>
      <c r="O233" s="37" t="s">
        <v>27</v>
      </c>
      <c r="P233" s="35" t="s">
        <v>91</v>
      </c>
      <c r="Q233" s="35" t="s">
        <v>50</v>
      </c>
      <c r="R233" s="32"/>
      <c r="S233" s="19"/>
      <c r="T233" s="19" t="s">
        <v>353</v>
      </c>
    </row>
    <row r="234" spans="1:20" s="2" customFormat="1">
      <c r="A234" s="18">
        <v>227</v>
      </c>
      <c r="B234" s="19" t="s">
        <v>335</v>
      </c>
      <c r="C234" s="21" t="s">
        <v>685</v>
      </c>
      <c r="D234" s="22" t="s">
        <v>686</v>
      </c>
      <c r="E234" s="39" t="s">
        <v>336</v>
      </c>
      <c r="F234" s="39" t="s">
        <v>336</v>
      </c>
      <c r="G234" s="24" t="s">
        <v>21</v>
      </c>
      <c r="H234" s="25" t="s">
        <v>22</v>
      </c>
      <c r="I234" s="25" t="s">
        <v>23</v>
      </c>
      <c r="J234" s="51">
        <v>30699</v>
      </c>
      <c r="K234" s="52">
        <f t="shared" ca="1" si="1"/>
        <v>42</v>
      </c>
      <c r="L234" s="25" t="s">
        <v>24</v>
      </c>
      <c r="M234" s="25" t="s">
        <v>25</v>
      </c>
      <c r="N234" s="25" t="s">
        <v>26</v>
      </c>
      <c r="O234" s="24" t="s">
        <v>27</v>
      </c>
      <c r="P234" s="25" t="s">
        <v>34</v>
      </c>
      <c r="Q234" s="25" t="s">
        <v>29</v>
      </c>
      <c r="R234" s="19" t="s">
        <v>36</v>
      </c>
      <c r="S234" s="19"/>
      <c r="T234" s="19" t="s">
        <v>350</v>
      </c>
    </row>
    <row r="235" spans="1:20" s="2" customFormat="1">
      <c r="A235" s="13">
        <v>228</v>
      </c>
      <c r="B235" s="19"/>
      <c r="C235" s="27" t="s">
        <v>685</v>
      </c>
      <c r="D235" s="28" t="s">
        <v>687</v>
      </c>
      <c r="E235" s="29"/>
      <c r="F235" s="30" t="s">
        <v>337</v>
      </c>
      <c r="G235" s="31" t="s">
        <v>39</v>
      </c>
      <c r="H235" s="29" t="s">
        <v>40</v>
      </c>
      <c r="I235" s="29" t="s">
        <v>23</v>
      </c>
      <c r="J235" s="54">
        <v>31072</v>
      </c>
      <c r="K235" s="55">
        <f t="shared" ca="1" si="1"/>
        <v>41</v>
      </c>
      <c r="L235" s="29" t="s">
        <v>24</v>
      </c>
      <c r="M235" s="29" t="s">
        <v>25</v>
      </c>
      <c r="N235" s="29" t="s">
        <v>26</v>
      </c>
      <c r="O235" s="31" t="s">
        <v>27</v>
      </c>
      <c r="P235" s="29" t="s">
        <v>34</v>
      </c>
      <c r="Q235" s="29" t="s">
        <v>42</v>
      </c>
      <c r="R235" s="19"/>
      <c r="S235" s="19"/>
      <c r="T235" s="19" t="s">
        <v>350</v>
      </c>
    </row>
    <row r="236" spans="1:20" s="2" customFormat="1">
      <c r="A236" s="13">
        <v>229</v>
      </c>
      <c r="B236" s="19"/>
      <c r="C236" s="27" t="s">
        <v>685</v>
      </c>
      <c r="D236" s="28" t="s">
        <v>688</v>
      </c>
      <c r="E236" s="29"/>
      <c r="F236" s="30" t="s">
        <v>338</v>
      </c>
      <c r="G236" s="31" t="s">
        <v>21</v>
      </c>
      <c r="H236" s="29" t="s">
        <v>44</v>
      </c>
      <c r="I236" s="29" t="s">
        <v>23</v>
      </c>
      <c r="J236" s="54">
        <v>40202</v>
      </c>
      <c r="K236" s="55">
        <f t="shared" ca="1" si="1"/>
        <v>16</v>
      </c>
      <c r="L236" s="29" t="s">
        <v>45</v>
      </c>
      <c r="M236" s="29" t="s">
        <v>25</v>
      </c>
      <c r="N236" s="29" t="s">
        <v>26</v>
      </c>
      <c r="O236" s="31" t="s">
        <v>27</v>
      </c>
      <c r="P236" s="29" t="s">
        <v>98</v>
      </c>
      <c r="Q236" s="29" t="s">
        <v>50</v>
      </c>
      <c r="R236" s="19"/>
      <c r="S236" s="19"/>
      <c r="T236" s="19" t="s">
        <v>350</v>
      </c>
    </row>
    <row r="237" spans="1:20" s="2" customFormat="1">
      <c r="A237" s="18">
        <v>230</v>
      </c>
      <c r="B237" s="19"/>
      <c r="C237" s="27" t="s">
        <v>685</v>
      </c>
      <c r="D237" s="28" t="s">
        <v>689</v>
      </c>
      <c r="E237" s="29"/>
      <c r="F237" s="30" t="s">
        <v>339</v>
      </c>
      <c r="G237" s="31" t="s">
        <v>39</v>
      </c>
      <c r="H237" s="29" t="s">
        <v>44</v>
      </c>
      <c r="I237" s="29" t="s">
        <v>23</v>
      </c>
      <c r="J237" s="54">
        <v>40859</v>
      </c>
      <c r="K237" s="55">
        <f t="shared" ca="1" si="1"/>
        <v>14</v>
      </c>
      <c r="L237" s="29" t="s">
        <v>45</v>
      </c>
      <c r="M237" s="29" t="s">
        <v>25</v>
      </c>
      <c r="N237" s="29" t="s">
        <v>26</v>
      </c>
      <c r="O237" s="31" t="s">
        <v>27</v>
      </c>
      <c r="P237" s="29" t="s">
        <v>61</v>
      </c>
      <c r="Q237" s="29" t="s">
        <v>50</v>
      </c>
      <c r="R237" s="26"/>
      <c r="S237" s="19"/>
      <c r="T237" s="19" t="s">
        <v>350</v>
      </c>
    </row>
    <row r="238" spans="1:20" s="2" customFormat="1">
      <c r="A238" s="13">
        <v>231</v>
      </c>
      <c r="B238" s="19"/>
      <c r="C238" s="27" t="s">
        <v>685</v>
      </c>
      <c r="D238" s="28" t="s">
        <v>690</v>
      </c>
      <c r="E238" s="29"/>
      <c r="F238" s="30" t="s">
        <v>340</v>
      </c>
      <c r="G238" s="31" t="s">
        <v>21</v>
      </c>
      <c r="H238" s="29" t="s">
        <v>44</v>
      </c>
      <c r="I238" s="29" t="s">
        <v>23</v>
      </c>
      <c r="J238" s="54">
        <v>41786</v>
      </c>
      <c r="K238" s="55">
        <f ca="1">INT((TODAY()-J238)/365)</f>
        <v>12</v>
      </c>
      <c r="L238" s="29" t="s">
        <v>45</v>
      </c>
      <c r="M238" s="29" t="s">
        <v>25</v>
      </c>
      <c r="N238" s="29" t="s">
        <v>26</v>
      </c>
      <c r="O238" s="31" t="s">
        <v>27</v>
      </c>
      <c r="P238" s="29" t="s">
        <v>61</v>
      </c>
      <c r="Q238" s="29" t="s">
        <v>50</v>
      </c>
      <c r="R238" s="26"/>
      <c r="S238" s="19"/>
      <c r="T238" s="19" t="s">
        <v>350</v>
      </c>
    </row>
    <row r="239" spans="1:20" s="2" customFormat="1">
      <c r="A239" s="13">
        <v>232</v>
      </c>
      <c r="B239" s="19"/>
      <c r="C239" s="27" t="s">
        <v>685</v>
      </c>
      <c r="D239" s="28" t="s">
        <v>691</v>
      </c>
      <c r="E239" s="29"/>
      <c r="F239" s="30" t="s">
        <v>341</v>
      </c>
      <c r="G239" s="31" t="s">
        <v>39</v>
      </c>
      <c r="H239" s="29" t="s">
        <v>44</v>
      </c>
      <c r="I239" s="29" t="s">
        <v>23</v>
      </c>
      <c r="J239" s="54">
        <v>43206</v>
      </c>
      <c r="K239" s="55">
        <f ca="1">INT((TODAY()-J239)/365)</f>
        <v>8</v>
      </c>
      <c r="L239" s="29" t="s">
        <v>45</v>
      </c>
      <c r="M239" s="29" t="s">
        <v>25</v>
      </c>
      <c r="N239" s="29" t="s">
        <v>26</v>
      </c>
      <c r="O239" s="31" t="s">
        <v>27</v>
      </c>
      <c r="P239" s="29" t="s">
        <v>62</v>
      </c>
      <c r="Q239" s="29" t="s">
        <v>63</v>
      </c>
      <c r="R239" s="26"/>
      <c r="S239" s="19"/>
      <c r="T239" s="19" t="s">
        <v>350</v>
      </c>
    </row>
    <row r="240" spans="1:20" s="2" customFormat="1">
      <c r="A240" s="18">
        <v>233</v>
      </c>
      <c r="B240" s="19"/>
      <c r="C240" s="43" t="s">
        <v>172</v>
      </c>
      <c r="D240" s="34" t="s">
        <v>692</v>
      </c>
      <c r="E240" s="35"/>
      <c r="F240" s="36" t="s">
        <v>342</v>
      </c>
      <c r="G240" s="37" t="s">
        <v>39</v>
      </c>
      <c r="H240" s="35" t="s">
        <v>52</v>
      </c>
      <c r="I240" s="35" t="s">
        <v>23</v>
      </c>
      <c r="J240" s="57">
        <v>20158</v>
      </c>
      <c r="K240" s="58">
        <f ca="1">INT((TODAY()-J240)/365)</f>
        <v>71</v>
      </c>
      <c r="L240" s="35" t="s">
        <v>53</v>
      </c>
      <c r="M240" s="35" t="s">
        <v>25</v>
      </c>
      <c r="N240" s="35" t="s">
        <v>26</v>
      </c>
      <c r="O240" s="37" t="s">
        <v>27</v>
      </c>
      <c r="P240" s="35" t="s">
        <v>61</v>
      </c>
      <c r="Q240" s="35" t="s">
        <v>42</v>
      </c>
      <c r="R240" s="32"/>
      <c r="S240" s="19"/>
      <c r="T240" s="19" t="s">
        <v>350</v>
      </c>
    </row>
    <row r="242" spans="6:6">
      <c r="F242" s="81"/>
    </row>
    <row r="243" spans="6:6">
      <c r="F243" s="81"/>
    </row>
    <row r="245" spans="6:6">
      <c r="F245" s="81"/>
    </row>
  </sheetData>
  <autoFilter ref="A7:T240" xr:uid="{00000000-0009-0000-0000-000001000000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 WARGA RT 06</vt:lpstr>
      <vt:lpstr>status</vt:lpstr>
      <vt:lpstr>'DATA WARGA RT 06'!Print_Area</vt:lpstr>
      <vt:lpstr>'DATA WARGA RT 06'!Print_Titles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M.FAHMI ILMAN N</cp:lastModifiedBy>
  <cp:lastPrinted>2023-04-16T23:02:00Z</cp:lastPrinted>
  <dcterms:created xsi:type="dcterms:W3CDTF">2022-06-16T04:11:00Z</dcterms:created>
  <dcterms:modified xsi:type="dcterms:W3CDTF">2026-10-10T01:11:06Z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1033-11.2.0.9629</vt:lpwstr>
  </property>
</Properties>
</file>